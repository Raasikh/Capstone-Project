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B9103C09-B248-4F07-AD25-DACF3B51C4CF}" xr6:coauthVersionLast="47" xr6:coauthVersionMax="47" xr10:uidLastSave="{00000000-0000-0000-0000-000000000000}"/>
  <bookViews>
    <workbookView xWindow="-108" yWindow="-108" windowWidth="23256" windowHeight="12456" xr2:uid="{A204CBF5-BCD6-4899-B488-A4E3CA02859C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73" i="1" l="1"/>
  <c r="C274" i="1"/>
  <c r="C275" i="1"/>
  <c r="C276" i="1"/>
  <c r="C277" i="1"/>
  <c r="C268" i="1"/>
  <c r="C269" i="1"/>
  <c r="C270" i="1"/>
  <c r="C263" i="1"/>
  <c r="C264" i="1"/>
  <c r="C265" i="1"/>
  <c r="C258" i="1"/>
  <c r="C259" i="1"/>
  <c r="C260" i="1"/>
  <c r="C248" i="1"/>
  <c r="C249" i="1"/>
  <c r="C240" i="1"/>
  <c r="C235" i="1"/>
  <c r="C236" i="1"/>
  <c r="C229" i="1"/>
  <c r="C230" i="1"/>
  <c r="C231" i="1"/>
  <c r="C232" i="1"/>
  <c r="C223" i="1"/>
  <c r="C224" i="1"/>
  <c r="C225" i="1"/>
  <c r="C220" i="1"/>
  <c r="C213" i="1"/>
  <c r="C214" i="1"/>
  <c r="C215" i="1"/>
  <c r="C217" i="1"/>
  <c r="C208" i="1"/>
  <c r="C209" i="1"/>
  <c r="C210" i="1"/>
  <c r="C205" i="1"/>
  <c r="C206" i="1"/>
  <c r="C207" i="1"/>
  <c r="C198" i="1"/>
  <c r="C199" i="1"/>
  <c r="C200" i="1"/>
  <c r="C201" i="1"/>
  <c r="C202" i="1"/>
  <c r="C183" i="1"/>
  <c r="C184" i="1"/>
  <c r="C185" i="1"/>
  <c r="C182" i="1"/>
  <c r="C181" i="1"/>
  <c r="C180" i="1"/>
  <c r="C173" i="1"/>
  <c r="C174" i="1"/>
  <c r="C175" i="1"/>
  <c r="C177" i="1"/>
  <c r="C168" i="1"/>
  <c r="C169" i="1"/>
  <c r="C170" i="1"/>
  <c r="C164" i="1"/>
  <c r="C158" i="1"/>
  <c r="C153" i="1"/>
  <c r="C154" i="1"/>
  <c r="C143" i="1"/>
  <c r="C144" i="1"/>
  <c r="C145" i="1"/>
  <c r="C138" i="1"/>
  <c r="C139" i="1"/>
  <c r="C140" i="1"/>
  <c r="C133" i="1"/>
  <c r="C134" i="1"/>
  <c r="C135" i="1"/>
  <c r="C128" i="1"/>
  <c r="C129" i="1"/>
  <c r="C130" i="1"/>
  <c r="C127" i="1"/>
  <c r="C118" i="1"/>
  <c r="C119" i="1"/>
  <c r="C120" i="1"/>
  <c r="C121" i="1"/>
  <c r="C122" i="1"/>
  <c r="C188" i="1"/>
  <c r="C189" i="1"/>
  <c r="C190" i="1"/>
  <c r="C191" i="1"/>
  <c r="C193" i="1"/>
  <c r="C194" i="1"/>
  <c r="C195" i="1"/>
  <c r="C113" i="1"/>
  <c r="C114" i="1"/>
  <c r="C115" i="1"/>
  <c r="C117" i="1"/>
  <c r="C108" i="1"/>
  <c r="C109" i="1"/>
  <c r="C110" i="1"/>
  <c r="C103" i="1"/>
  <c r="C104" i="1"/>
  <c r="C105" i="1"/>
  <c r="C106" i="1"/>
  <c r="C107" i="1"/>
  <c r="C98" i="1"/>
  <c r="C99" i="1"/>
  <c r="C100" i="1"/>
  <c r="C101" i="1"/>
  <c r="C102" i="1"/>
  <c r="C88" i="1"/>
  <c r="C89" i="1"/>
  <c r="C90" i="1"/>
  <c r="C91" i="1"/>
  <c r="C92" i="1"/>
  <c r="C78" i="1"/>
  <c r="C79" i="1"/>
  <c r="C80" i="1"/>
  <c r="C73" i="1"/>
  <c r="C74" i="1"/>
  <c r="C75" i="1"/>
  <c r="C76" i="1"/>
  <c r="C77" i="1"/>
  <c r="C71" i="1"/>
  <c r="C70" i="1"/>
  <c r="C69" i="1"/>
  <c r="C68" i="1"/>
  <c r="C63" i="1"/>
  <c r="C64" i="1"/>
  <c r="C65" i="1"/>
  <c r="C62" i="1"/>
  <c r="C48" i="1"/>
  <c r="C49" i="1"/>
  <c r="C50" i="1"/>
  <c r="C51" i="1"/>
  <c r="C43" i="1"/>
  <c r="C44" i="1"/>
  <c r="C45" i="1"/>
  <c r="C46" i="1"/>
  <c r="C38" i="1"/>
  <c r="C39" i="1"/>
  <c r="C40" i="1"/>
  <c r="C33" i="1"/>
  <c r="C34" i="1"/>
  <c r="C35" i="1"/>
  <c r="C28" i="1"/>
  <c r="C29" i="1"/>
  <c r="C30" i="1"/>
  <c r="C23" i="1"/>
  <c r="C24" i="1"/>
  <c r="C25" i="1"/>
  <c r="C26" i="1"/>
  <c r="C18" i="1"/>
  <c r="C19" i="1"/>
  <c r="C20" i="1"/>
  <c r="C21" i="1"/>
  <c r="C13" i="1"/>
  <c r="C14" i="1"/>
  <c r="C15" i="1"/>
  <c r="C16" i="1"/>
  <c r="C17" i="1"/>
  <c r="C8" i="1"/>
  <c r="C9" i="1"/>
  <c r="C10" i="1"/>
  <c r="C11" i="1"/>
  <c r="C12" i="1"/>
  <c r="C3" i="1"/>
  <c r="C4" i="1"/>
  <c r="C5" i="1"/>
  <c r="C6" i="1"/>
  <c r="C7" i="1"/>
</calcChain>
</file>

<file path=xl/sharedStrings.xml><?xml version="1.0" encoding="utf-8"?>
<sst xmlns="http://schemas.openxmlformats.org/spreadsheetml/2006/main" count="357" uniqueCount="64">
  <si>
    <t>Years</t>
  </si>
  <si>
    <t>First time, First year Applicants</t>
  </si>
  <si>
    <t>Offered place on the waiting list</t>
  </si>
  <si>
    <t>Students Accepting place on the waiting list</t>
  </si>
  <si>
    <t>Students admitted from waiting list</t>
  </si>
  <si>
    <t>University</t>
  </si>
  <si>
    <t>California Institute of Technology</t>
  </si>
  <si>
    <t>University of Arkansas</t>
  </si>
  <si>
    <t>Stanford University</t>
  </si>
  <si>
    <t>University of California-Irvine</t>
  </si>
  <si>
    <t>University of California-Los Angeles</t>
  </si>
  <si>
    <t>University of California-Riverisde</t>
  </si>
  <si>
    <t>University of California-San Diego</t>
  </si>
  <si>
    <t>University of California-Santa Cruz</t>
  </si>
  <si>
    <t>Colorado School of Mines</t>
  </si>
  <si>
    <t>University of Colorado Boulder</t>
  </si>
  <si>
    <t xml:space="preserve">University of Denver </t>
  </si>
  <si>
    <t>University of Connecticut</t>
  </si>
  <si>
    <t>Yale University</t>
  </si>
  <si>
    <t>George Washington University</t>
  </si>
  <si>
    <t>Georgetown University</t>
  </si>
  <si>
    <t>University of Delaware</t>
  </si>
  <si>
    <t>University of Central Florida</t>
  </si>
  <si>
    <t>University of Miami</t>
  </si>
  <si>
    <t>Georgia Institute of Technology-MC</t>
  </si>
  <si>
    <t>Univeristy of Georgia</t>
  </si>
  <si>
    <t>Iowa State Univeristy</t>
  </si>
  <si>
    <t>Indiana University-Bloomington</t>
  </si>
  <si>
    <t>null</t>
  </si>
  <si>
    <t>Purdue University</t>
  </si>
  <si>
    <t>University of Wisconsin- Madison</t>
  </si>
  <si>
    <t>Virginia Tech</t>
  </si>
  <si>
    <t>Tulane University</t>
  </si>
  <si>
    <t>Boston University</t>
  </si>
  <si>
    <t>Tufts University</t>
  </si>
  <si>
    <t>University of Massachusetts-Amherst</t>
  </si>
  <si>
    <t>University of Maryland-Baltimore County</t>
  </si>
  <si>
    <t>University of Maryland-College Park</t>
  </si>
  <si>
    <t>University of Michigan-Ann Arbor</t>
  </si>
  <si>
    <t>Dartmouth College</t>
  </si>
  <si>
    <t>University of North Carolina at Chapel Hill</t>
  </si>
  <si>
    <t>North Carolina State University at Raleigh</t>
  </si>
  <si>
    <t>Stony Brook University</t>
  </si>
  <si>
    <t>Syracuse University</t>
  </si>
  <si>
    <t>Cornell University</t>
  </si>
  <si>
    <t>Binghamton Univeristy</t>
  </si>
  <si>
    <t>Princeton University</t>
  </si>
  <si>
    <t>University at Buffalo</t>
  </si>
  <si>
    <t>Case Western Reserve University</t>
  </si>
  <si>
    <t>Univeristy of Oklahoma-Norman Campus</t>
  </si>
  <si>
    <t>University of Oregon</t>
  </si>
  <si>
    <t>Carnegie Mellon University</t>
  </si>
  <si>
    <t>Temple University</t>
  </si>
  <si>
    <t>Rice Univeristy</t>
  </si>
  <si>
    <t>Baylor University</t>
  </si>
  <si>
    <t>Vanderbuilt University</t>
  </si>
  <si>
    <t>The University of Tennessee-Knoxville</t>
  </si>
  <si>
    <t>Clemson University</t>
  </si>
  <si>
    <t>University of South Carolina-Columbia</t>
  </si>
  <si>
    <t>University of Pennsylvania</t>
  </si>
  <si>
    <t>University of Pittsburgh</t>
  </si>
  <si>
    <t>George Mason University</t>
  </si>
  <si>
    <t>Old Dominion University</t>
  </si>
  <si>
    <t>University of Virgina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</si>
</sst>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B70DD-687A-42BC-9F7F-DE57E61394DA}">
  <dimension ref="A2:XFD287"/>
  <sheetViews>
    <sheetView tabSelected="1" workbookViewId="0">
      <selection activeCell="C19" sqref="C19"/>
    </sheetView>
  </sheetViews>
  <sheetFormatPr defaultRowHeight="14.4" x14ac:dyDescent="0.3"/>
  <cols>
    <col min="1" max="1" width="29.21875" customWidth="1"/>
    <col min="3" max="3" width="26.77734375" customWidth="1"/>
    <col min="4" max="4" width="23" customWidth="1"/>
    <col min="5" max="5" width="31.33203125" customWidth="1"/>
    <col min="6" max="6" width="23.88671875" customWidth="1"/>
  </cols>
  <sheetData>
    <row r="2" spans="1:6" x14ac:dyDescent="0.3">
      <c r="A2" t="s">
        <v>5</v>
      </c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1:6" x14ac:dyDescent="0.3">
      <c r="A3" t="s">
        <v>7</v>
      </c>
      <c r="B3">
        <v>2018</v>
      </c>
      <c r="C3">
        <f>7811+10921</f>
        <v>18732</v>
      </c>
      <c r="D3">
        <v>399</v>
      </c>
      <c r="E3">
        <v>399</v>
      </c>
      <c r="F3">
        <v>134</v>
      </c>
    </row>
    <row r="4" spans="1:6" x14ac:dyDescent="0.3">
      <c r="A4" t="s">
        <v>7</v>
      </c>
      <c r="B4">
        <v>2019</v>
      </c>
      <c r="C4">
        <f>7305+10608</f>
        <v>17913</v>
      </c>
      <c r="D4">
        <v>187</v>
      </c>
      <c r="E4">
        <v>184</v>
      </c>
      <c r="F4">
        <v>166</v>
      </c>
    </row>
    <row r="5" spans="1:6" x14ac:dyDescent="0.3">
      <c r="A5" t="s">
        <v>7</v>
      </c>
      <c r="B5">
        <v>2020</v>
      </c>
      <c r="C5">
        <f>8176+11601</f>
        <v>19777</v>
      </c>
      <c r="D5" t="s">
        <v>28</v>
      </c>
      <c r="E5" t="s">
        <v>28</v>
      </c>
      <c r="F5" t="s">
        <v>28</v>
      </c>
    </row>
    <row r="6" spans="1:6" x14ac:dyDescent="0.3">
      <c r="A6" t="s">
        <v>7</v>
      </c>
      <c r="B6">
        <v>2021</v>
      </c>
      <c r="C6">
        <f>8507+12955</f>
        <v>21462</v>
      </c>
      <c r="D6" t="s">
        <v>28</v>
      </c>
      <c r="E6" t="s">
        <v>28</v>
      </c>
      <c r="F6" t="s">
        <v>28</v>
      </c>
    </row>
    <row r="7" spans="1:6" x14ac:dyDescent="0.3">
      <c r="A7" t="s">
        <v>7</v>
      </c>
      <c r="B7">
        <v>2022</v>
      </c>
      <c r="C7">
        <f>10960+15250</f>
        <v>26210</v>
      </c>
      <c r="D7">
        <v>343</v>
      </c>
      <c r="E7">
        <v>197</v>
      </c>
      <c r="F7">
        <v>15</v>
      </c>
    </row>
    <row r="8" spans="1:6" x14ac:dyDescent="0.3">
      <c r="A8" t="s">
        <v>6</v>
      </c>
      <c r="B8">
        <v>2018</v>
      </c>
      <c r="C8">
        <f>5866+2342</f>
        <v>8208</v>
      </c>
      <c r="D8">
        <v>634</v>
      </c>
      <c r="E8">
        <v>512</v>
      </c>
      <c r="F8">
        <v>6</v>
      </c>
    </row>
    <row r="9" spans="1:6" x14ac:dyDescent="0.3">
      <c r="A9" t="s">
        <v>6</v>
      </c>
      <c r="B9">
        <v>2019</v>
      </c>
      <c r="C9">
        <f>6011+2356</f>
        <v>8367</v>
      </c>
      <c r="D9">
        <v>501</v>
      </c>
      <c r="E9">
        <v>394</v>
      </c>
      <c r="F9">
        <v>5</v>
      </c>
    </row>
    <row r="10" spans="1:6" x14ac:dyDescent="0.3">
      <c r="A10" t="s">
        <v>6</v>
      </c>
      <c r="B10">
        <v>2020</v>
      </c>
      <c r="C10">
        <f>5707+2300</f>
        <v>8007</v>
      </c>
      <c r="D10">
        <v>312</v>
      </c>
      <c r="E10">
        <v>235</v>
      </c>
      <c r="F10">
        <v>10</v>
      </c>
    </row>
    <row r="11" spans="1:6" x14ac:dyDescent="0.3">
      <c r="A11" t="s">
        <v>6</v>
      </c>
      <c r="B11">
        <v>2021</v>
      </c>
      <c r="C11">
        <f>9059+3967</f>
        <v>13026</v>
      </c>
      <c r="D11">
        <v>268</v>
      </c>
      <c r="E11">
        <v>213</v>
      </c>
      <c r="F11">
        <v>0</v>
      </c>
    </row>
    <row r="12" spans="1:6" x14ac:dyDescent="0.3">
      <c r="A12" t="s">
        <v>6</v>
      </c>
      <c r="B12">
        <v>2022</v>
      </c>
      <c r="C12">
        <f>11352+5274</f>
        <v>16626</v>
      </c>
      <c r="D12">
        <v>195</v>
      </c>
      <c r="E12">
        <v>167</v>
      </c>
      <c r="F12">
        <v>15</v>
      </c>
    </row>
    <row r="13" spans="1:6" x14ac:dyDescent="0.3">
      <c r="A13" t="s">
        <v>8</v>
      </c>
      <c r="B13">
        <v>2018</v>
      </c>
      <c r="C13">
        <f>24692+22760</f>
        <v>47452</v>
      </c>
      <c r="D13">
        <v>870</v>
      </c>
      <c r="E13">
        <v>681</v>
      </c>
      <c r="F13">
        <v>30</v>
      </c>
    </row>
    <row r="14" spans="1:6" x14ac:dyDescent="0.3">
      <c r="A14" t="s">
        <v>8</v>
      </c>
      <c r="B14">
        <v>2019</v>
      </c>
      <c r="C14">
        <f>24902+22596</f>
        <v>47498</v>
      </c>
      <c r="D14">
        <v>750</v>
      </c>
      <c r="E14">
        <v>580</v>
      </c>
      <c r="F14">
        <v>8</v>
      </c>
    </row>
    <row r="15" spans="1:6" x14ac:dyDescent="0.3">
      <c r="A15" t="s">
        <v>8</v>
      </c>
      <c r="B15">
        <v>2020</v>
      </c>
      <c r="C15">
        <f>23801+21426</f>
        <v>45227</v>
      </c>
      <c r="D15">
        <v>850</v>
      </c>
      <c r="E15">
        <v>707</v>
      </c>
      <c r="F15">
        <v>259</v>
      </c>
    </row>
    <row r="16" spans="1:6" x14ac:dyDescent="0.3">
      <c r="A16" t="s">
        <v>8</v>
      </c>
      <c r="B16">
        <v>2021</v>
      </c>
      <c r="C16">
        <f>28332+27139</f>
        <v>55471</v>
      </c>
      <c r="D16">
        <v>652</v>
      </c>
      <c r="E16">
        <v>535</v>
      </c>
      <c r="F16">
        <v>61</v>
      </c>
    </row>
    <row r="17" spans="1:6" x14ac:dyDescent="0.3">
      <c r="A17" t="s">
        <v>8</v>
      </c>
      <c r="B17">
        <v>2022</v>
      </c>
      <c r="C17">
        <f>28379+27999</f>
        <v>56378</v>
      </c>
      <c r="D17">
        <v>553</v>
      </c>
      <c r="E17">
        <v>457</v>
      </c>
      <c r="F17">
        <v>8</v>
      </c>
    </row>
    <row r="18" spans="1:6" x14ac:dyDescent="0.3">
      <c r="A18" t="s">
        <v>9</v>
      </c>
      <c r="B18">
        <v>2018</v>
      </c>
      <c r="C18">
        <f>44780+50285</f>
        <v>95065</v>
      </c>
      <c r="D18">
        <v>12522</v>
      </c>
      <c r="E18">
        <v>6428</v>
      </c>
      <c r="F18">
        <v>136</v>
      </c>
    </row>
    <row r="19" spans="1:6" x14ac:dyDescent="0.3">
      <c r="A19" t="s">
        <v>9</v>
      </c>
      <c r="B19">
        <v>2019</v>
      </c>
      <c r="C19">
        <f>45576+49992</f>
        <v>95568</v>
      </c>
      <c r="D19">
        <v>17018</v>
      </c>
      <c r="E19">
        <v>8608</v>
      </c>
      <c r="F19">
        <v>1610</v>
      </c>
    </row>
    <row r="20" spans="1:6" x14ac:dyDescent="0.3">
      <c r="A20" t="s">
        <v>9</v>
      </c>
      <c r="B20">
        <v>2020</v>
      </c>
      <c r="C20">
        <f>45055+5288</f>
        <v>50343</v>
      </c>
      <c r="D20">
        <v>18621</v>
      </c>
      <c r="E20">
        <v>11081</v>
      </c>
      <c r="F20">
        <v>2664</v>
      </c>
    </row>
    <row r="21" spans="1:6" x14ac:dyDescent="0.3">
      <c r="A21" t="s">
        <v>9</v>
      </c>
      <c r="B21">
        <v>2021</v>
      </c>
      <c r="C21">
        <f>49449+58512</f>
        <v>107961</v>
      </c>
      <c r="D21">
        <v>8765</v>
      </c>
      <c r="E21">
        <v>1288</v>
      </c>
      <c r="F21">
        <v>189</v>
      </c>
    </row>
    <row r="22" spans="1:6" x14ac:dyDescent="0.3">
      <c r="A22" t="s">
        <v>9</v>
      </c>
      <c r="B22">
        <v>2022</v>
      </c>
      <c r="C22">
        <v>86418</v>
      </c>
      <c r="D22">
        <v>9861</v>
      </c>
      <c r="E22">
        <v>3533</v>
      </c>
      <c r="F22">
        <v>2979</v>
      </c>
    </row>
    <row r="23" spans="1:6" x14ac:dyDescent="0.3">
      <c r="A23" t="s">
        <v>10</v>
      </c>
      <c r="B23">
        <v>2018</v>
      </c>
      <c r="C23">
        <f>51171+59840</f>
        <v>111011</v>
      </c>
      <c r="D23">
        <v>2750</v>
      </c>
      <c r="E23">
        <v>414</v>
      </c>
      <c r="F23">
        <v>23</v>
      </c>
    </row>
    <row r="24" spans="1:6" x14ac:dyDescent="0.3">
      <c r="A24" t="s">
        <v>10</v>
      </c>
      <c r="B24">
        <v>2019</v>
      </c>
      <c r="C24">
        <f>50177+58654</f>
        <v>108831</v>
      </c>
      <c r="D24">
        <v>2491</v>
      </c>
      <c r="E24">
        <v>288</v>
      </c>
      <c r="F24">
        <v>9</v>
      </c>
    </row>
    <row r="25" spans="1:6" x14ac:dyDescent="0.3">
      <c r="A25" t="s">
        <v>10</v>
      </c>
      <c r="B25">
        <v>2020</v>
      </c>
      <c r="C25">
        <f>49603+57753</f>
        <v>107356</v>
      </c>
      <c r="D25">
        <v>14470</v>
      </c>
      <c r="E25">
        <v>9254</v>
      </c>
      <c r="F25">
        <v>1779</v>
      </c>
    </row>
    <row r="26" spans="1:6" x14ac:dyDescent="0.3">
      <c r="A26" t="s">
        <v>10</v>
      </c>
      <c r="B26">
        <v>2021</v>
      </c>
      <c r="C26">
        <f>60821+75341</f>
        <v>136162</v>
      </c>
      <c r="D26">
        <v>15242</v>
      </c>
      <c r="E26">
        <v>9897</v>
      </c>
      <c r="F26">
        <v>214</v>
      </c>
    </row>
    <row r="27" spans="1:6" x14ac:dyDescent="0.3">
      <c r="A27" t="s">
        <v>10</v>
      </c>
      <c r="B27">
        <v>2022</v>
      </c>
      <c r="C27">
        <v>149815</v>
      </c>
      <c r="D27">
        <v>16979</v>
      </c>
      <c r="E27">
        <v>11169</v>
      </c>
      <c r="F27">
        <v>367</v>
      </c>
    </row>
    <row r="28" spans="1:6" x14ac:dyDescent="0.3">
      <c r="A28" t="s">
        <v>11</v>
      </c>
      <c r="B28">
        <v>2018</v>
      </c>
      <c r="C28">
        <f>21316+27766</f>
        <v>49082</v>
      </c>
      <c r="D28">
        <v>11058</v>
      </c>
      <c r="E28">
        <v>6695</v>
      </c>
      <c r="F28">
        <v>1143</v>
      </c>
    </row>
    <row r="29" spans="1:6" x14ac:dyDescent="0.3">
      <c r="A29" t="s">
        <v>11</v>
      </c>
      <c r="B29">
        <v>2019</v>
      </c>
      <c r="C29">
        <f>21936+27582</f>
        <v>49518</v>
      </c>
      <c r="D29">
        <v>7776</v>
      </c>
      <c r="E29">
        <v>4015</v>
      </c>
      <c r="F29">
        <v>1375</v>
      </c>
    </row>
    <row r="30" spans="1:6" x14ac:dyDescent="0.3">
      <c r="A30" t="s">
        <v>11</v>
      </c>
      <c r="B30">
        <v>2020</v>
      </c>
      <c r="C30">
        <f>21905+27529</f>
        <v>49434</v>
      </c>
      <c r="D30">
        <v>11319</v>
      </c>
      <c r="E30">
        <v>5638</v>
      </c>
      <c r="F30">
        <v>3828</v>
      </c>
    </row>
    <row r="31" spans="1:6" x14ac:dyDescent="0.3">
      <c r="A31" t="s">
        <v>11</v>
      </c>
      <c r="B31">
        <v>2021</v>
      </c>
      <c r="C31">
        <v>52675</v>
      </c>
      <c r="D31">
        <v>12162</v>
      </c>
      <c r="E31">
        <v>5997</v>
      </c>
      <c r="F31">
        <v>4786</v>
      </c>
    </row>
    <row r="32" spans="1:6" x14ac:dyDescent="0.3">
      <c r="A32" t="s">
        <v>11</v>
      </c>
      <c r="B32">
        <v>2022</v>
      </c>
      <c r="C32">
        <v>54685</v>
      </c>
      <c r="D32">
        <v>11882</v>
      </c>
      <c r="E32">
        <v>5769</v>
      </c>
      <c r="F32">
        <v>2282</v>
      </c>
    </row>
    <row r="33" spans="1:6" x14ac:dyDescent="0.3">
      <c r="A33" t="s">
        <v>12</v>
      </c>
      <c r="B33">
        <v>2018</v>
      </c>
      <c r="C33">
        <f>45636+52265</f>
        <v>97901</v>
      </c>
      <c r="D33">
        <v>9465</v>
      </c>
      <c r="E33">
        <v>5998</v>
      </c>
      <c r="F33">
        <v>967</v>
      </c>
    </row>
    <row r="34" spans="1:6" x14ac:dyDescent="0.3">
      <c r="A34" t="s">
        <v>12</v>
      </c>
      <c r="B34">
        <v>2019</v>
      </c>
      <c r="C34">
        <f>46432+52701</f>
        <v>99133</v>
      </c>
      <c r="D34">
        <v>19976</v>
      </c>
      <c r="E34">
        <v>12426</v>
      </c>
      <c r="F34">
        <v>4313</v>
      </c>
    </row>
    <row r="35" spans="1:6" x14ac:dyDescent="0.3">
      <c r="A35" t="s">
        <v>12</v>
      </c>
      <c r="B35">
        <v>2020</v>
      </c>
      <c r="C35">
        <f>45817+52852</f>
        <v>98669</v>
      </c>
      <c r="D35">
        <v>19174</v>
      </c>
      <c r="E35">
        <v>14265</v>
      </c>
      <c r="F35">
        <v>5282</v>
      </c>
    </row>
    <row r="36" spans="1:6" x14ac:dyDescent="0.3">
      <c r="A36" t="s">
        <v>12</v>
      </c>
      <c r="B36">
        <v>2021</v>
      </c>
      <c r="C36">
        <v>118410</v>
      </c>
      <c r="D36">
        <v>25419</v>
      </c>
      <c r="E36">
        <v>8835</v>
      </c>
      <c r="F36">
        <v>0</v>
      </c>
    </row>
    <row r="37" spans="1:6" x14ac:dyDescent="0.3">
      <c r="A37" t="s">
        <v>12</v>
      </c>
      <c r="B37">
        <v>2022</v>
      </c>
      <c r="C37">
        <v>131254</v>
      </c>
      <c r="D37">
        <v>51350</v>
      </c>
      <c r="E37">
        <v>36113</v>
      </c>
      <c r="F37">
        <v>2400</v>
      </c>
    </row>
    <row r="38" spans="1:6" x14ac:dyDescent="0.3">
      <c r="A38" t="s">
        <v>13</v>
      </c>
      <c r="B38">
        <v>2018</v>
      </c>
      <c r="C38">
        <f>24581+30774</f>
        <v>55355</v>
      </c>
      <c r="D38">
        <v>12504</v>
      </c>
      <c r="E38">
        <v>7453</v>
      </c>
      <c r="F38">
        <v>149</v>
      </c>
    </row>
    <row r="39" spans="1:6" x14ac:dyDescent="0.3">
      <c r="A39" t="s">
        <v>13</v>
      </c>
      <c r="B39">
        <v>2019</v>
      </c>
      <c r="C39">
        <f>24375+29434</f>
        <v>53809</v>
      </c>
      <c r="D39">
        <v>12859</v>
      </c>
      <c r="E39">
        <v>7576</v>
      </c>
      <c r="F39">
        <v>4676</v>
      </c>
    </row>
    <row r="40" spans="1:6" x14ac:dyDescent="0.3">
      <c r="A40" t="s">
        <v>13</v>
      </c>
      <c r="B40">
        <v>2020</v>
      </c>
      <c r="C40">
        <f>24322+29719</f>
        <v>54041</v>
      </c>
      <c r="D40">
        <v>16484</v>
      </c>
      <c r="E40">
        <v>10370</v>
      </c>
      <c r="F40">
        <v>8870</v>
      </c>
    </row>
    <row r="41" spans="1:6" x14ac:dyDescent="0.3">
      <c r="A41" t="s">
        <v>13</v>
      </c>
      <c r="B41">
        <v>2021</v>
      </c>
      <c r="C41">
        <v>61822</v>
      </c>
      <c r="D41">
        <v>19170</v>
      </c>
      <c r="E41">
        <v>12541</v>
      </c>
      <c r="F41">
        <v>6633</v>
      </c>
    </row>
    <row r="42" spans="1:6" x14ac:dyDescent="0.3">
      <c r="A42" t="s">
        <v>13</v>
      </c>
      <c r="B42">
        <v>2022</v>
      </c>
      <c r="C42">
        <v>66033</v>
      </c>
      <c r="D42">
        <v>18099</v>
      </c>
      <c r="E42">
        <v>11919</v>
      </c>
      <c r="F42">
        <v>1573</v>
      </c>
    </row>
    <row r="43" spans="1:6" x14ac:dyDescent="0.3">
      <c r="A43" t="s">
        <v>14</v>
      </c>
      <c r="B43">
        <v>2018</v>
      </c>
      <c r="C43">
        <f>8726+3935</f>
        <v>12661</v>
      </c>
      <c r="D43">
        <v>1280</v>
      </c>
      <c r="E43">
        <v>426</v>
      </c>
      <c r="F43">
        <v>16</v>
      </c>
    </row>
    <row r="44" spans="1:6" x14ac:dyDescent="0.3">
      <c r="A44" t="s">
        <v>14</v>
      </c>
      <c r="B44">
        <v>2019</v>
      </c>
      <c r="C44">
        <f>8024+3732</f>
        <v>11756</v>
      </c>
      <c r="D44">
        <v>1622</v>
      </c>
      <c r="E44">
        <v>424</v>
      </c>
      <c r="F44">
        <v>8</v>
      </c>
    </row>
    <row r="45" spans="1:6" x14ac:dyDescent="0.3">
      <c r="A45" t="s">
        <v>14</v>
      </c>
      <c r="B45">
        <v>2020</v>
      </c>
      <c r="C45">
        <f>8102+3942</f>
        <v>12044</v>
      </c>
      <c r="D45">
        <v>2675</v>
      </c>
      <c r="E45">
        <v>1243</v>
      </c>
      <c r="F45">
        <v>521</v>
      </c>
    </row>
    <row r="46" spans="1:6" x14ac:dyDescent="0.3">
      <c r="A46" t="s">
        <v>14</v>
      </c>
      <c r="B46">
        <v>2021</v>
      </c>
      <c r="C46">
        <f>8010+4012</f>
        <v>12022</v>
      </c>
      <c r="D46">
        <v>1538</v>
      </c>
      <c r="E46">
        <v>543</v>
      </c>
      <c r="F46">
        <v>20</v>
      </c>
    </row>
    <row r="47" spans="1:6" x14ac:dyDescent="0.3">
      <c r="A47" t="s">
        <v>14</v>
      </c>
      <c r="B47">
        <v>2022</v>
      </c>
      <c r="C47">
        <v>10886</v>
      </c>
      <c r="D47">
        <v>765</v>
      </c>
      <c r="E47">
        <v>224</v>
      </c>
      <c r="F47">
        <v>6</v>
      </c>
    </row>
    <row r="48" spans="1:6" x14ac:dyDescent="0.3">
      <c r="A48" t="s">
        <v>15</v>
      </c>
      <c r="B48">
        <v>2018</v>
      </c>
      <c r="C48">
        <f>18663+17941</f>
        <v>36604</v>
      </c>
      <c r="D48">
        <v>2222</v>
      </c>
      <c r="E48">
        <v>1000</v>
      </c>
      <c r="F48">
        <v>479</v>
      </c>
    </row>
    <row r="49" spans="1:6" x14ac:dyDescent="0.3">
      <c r="A49" t="s">
        <v>15</v>
      </c>
      <c r="B49">
        <v>2019</v>
      </c>
      <c r="C49">
        <f>20195+20545</f>
        <v>40740</v>
      </c>
      <c r="D49">
        <v>4380</v>
      </c>
      <c r="E49">
        <v>1380</v>
      </c>
      <c r="F49">
        <v>558</v>
      </c>
    </row>
    <row r="50" spans="1:6" x14ac:dyDescent="0.3">
      <c r="A50" t="s">
        <v>15</v>
      </c>
      <c r="B50">
        <v>2020</v>
      </c>
      <c r="C50">
        <f>21897+22274</f>
        <v>44171</v>
      </c>
      <c r="D50">
        <v>1565</v>
      </c>
      <c r="E50">
        <v>504</v>
      </c>
      <c r="F50">
        <v>304</v>
      </c>
    </row>
    <row r="51" spans="1:6" x14ac:dyDescent="0.3">
      <c r="A51" t="s">
        <v>15</v>
      </c>
      <c r="B51">
        <v>2021</v>
      </c>
      <c r="C51">
        <f>26062+28693</f>
        <v>54755</v>
      </c>
      <c r="D51">
        <v>7531</v>
      </c>
      <c r="E51">
        <v>2789</v>
      </c>
      <c r="F51">
        <v>2608</v>
      </c>
    </row>
    <row r="52" spans="1:6" x14ac:dyDescent="0.3">
      <c r="A52" t="s">
        <v>15</v>
      </c>
      <c r="B52">
        <v>2022</v>
      </c>
      <c r="C52">
        <v>54861</v>
      </c>
      <c r="D52">
        <v>6570</v>
      </c>
      <c r="E52">
        <v>2590</v>
      </c>
      <c r="F52">
        <v>101</v>
      </c>
    </row>
    <row r="53" spans="1:6" x14ac:dyDescent="0.3">
      <c r="A53" t="s">
        <v>16</v>
      </c>
      <c r="B53">
        <v>2018</v>
      </c>
      <c r="C53">
        <v>20475</v>
      </c>
      <c r="D53">
        <v>492</v>
      </c>
      <c r="E53">
        <v>264</v>
      </c>
      <c r="F53">
        <v>1</v>
      </c>
    </row>
    <row r="54" spans="1:6" x14ac:dyDescent="0.3">
      <c r="A54" t="s">
        <v>16</v>
      </c>
      <c r="B54">
        <v>2019</v>
      </c>
      <c r="C54">
        <v>21028</v>
      </c>
      <c r="D54">
        <v>472</v>
      </c>
      <c r="E54">
        <v>203</v>
      </c>
      <c r="F54">
        <v>57</v>
      </c>
    </row>
    <row r="55" spans="1:6" x14ac:dyDescent="0.3">
      <c r="A55" t="s">
        <v>16</v>
      </c>
      <c r="B55">
        <v>2020</v>
      </c>
      <c r="C55">
        <v>22723</v>
      </c>
      <c r="D55">
        <v>480</v>
      </c>
      <c r="E55">
        <v>180</v>
      </c>
      <c r="F55">
        <v>53</v>
      </c>
    </row>
    <row r="56" spans="1:6" x14ac:dyDescent="0.3">
      <c r="A56" t="s">
        <v>16</v>
      </c>
      <c r="B56">
        <v>2021</v>
      </c>
      <c r="C56">
        <v>22694</v>
      </c>
      <c r="D56">
        <v>584</v>
      </c>
      <c r="E56">
        <v>164</v>
      </c>
      <c r="F56">
        <v>35</v>
      </c>
    </row>
    <row r="57" spans="1:6" x14ac:dyDescent="0.3">
      <c r="A57" t="s">
        <v>16</v>
      </c>
      <c r="B57">
        <v>2022</v>
      </c>
      <c r="C57">
        <v>19342</v>
      </c>
      <c r="D57">
        <v>500</v>
      </c>
      <c r="E57">
        <v>198</v>
      </c>
      <c r="F57">
        <v>3</v>
      </c>
    </row>
    <row r="58" spans="1:6" x14ac:dyDescent="0.3">
      <c r="A58" t="s">
        <v>17</v>
      </c>
      <c r="B58">
        <v>2018</v>
      </c>
      <c r="C58">
        <v>34886</v>
      </c>
      <c r="D58">
        <v>2027</v>
      </c>
      <c r="E58">
        <v>1249</v>
      </c>
      <c r="F58">
        <v>502</v>
      </c>
    </row>
    <row r="59" spans="1:6" x14ac:dyDescent="0.3">
      <c r="A59" t="s">
        <v>17</v>
      </c>
      <c r="B59">
        <v>2019</v>
      </c>
      <c r="C59">
        <v>35096</v>
      </c>
      <c r="D59">
        <v>1937</v>
      </c>
      <c r="E59">
        <v>886</v>
      </c>
      <c r="F59">
        <v>830</v>
      </c>
    </row>
    <row r="60" spans="1:6" x14ac:dyDescent="0.3">
      <c r="A60" t="s">
        <v>17</v>
      </c>
      <c r="B60">
        <v>2020</v>
      </c>
      <c r="C60">
        <v>34437</v>
      </c>
      <c r="D60">
        <v>2808</v>
      </c>
      <c r="E60">
        <v>1117</v>
      </c>
      <c r="F60">
        <v>203</v>
      </c>
    </row>
    <row r="61" spans="1:6" x14ac:dyDescent="0.3">
      <c r="A61" t="s">
        <v>17</v>
      </c>
      <c r="B61">
        <v>2021</v>
      </c>
      <c r="C61">
        <v>36753</v>
      </c>
      <c r="D61">
        <v>3160</v>
      </c>
      <c r="E61">
        <v>1317</v>
      </c>
      <c r="F61">
        <v>95</v>
      </c>
    </row>
    <row r="62" spans="1:6" x14ac:dyDescent="0.3">
      <c r="A62" t="s">
        <v>17</v>
      </c>
      <c r="B62">
        <v>2022</v>
      </c>
      <c r="C62">
        <f>17820+23074</f>
        <v>40894</v>
      </c>
      <c r="D62">
        <v>3966</v>
      </c>
      <c r="E62">
        <v>1623</v>
      </c>
      <c r="F62">
        <v>122</v>
      </c>
    </row>
    <row r="63" spans="1:6" x14ac:dyDescent="0.3">
      <c r="A63" t="s">
        <v>18</v>
      </c>
      <c r="B63">
        <v>2018</v>
      </c>
      <c r="C63">
        <f>16181+19126</f>
        <v>35307</v>
      </c>
      <c r="D63" t="s">
        <v>28</v>
      </c>
      <c r="E63" t="s">
        <v>28</v>
      </c>
      <c r="F63" t="s">
        <v>28</v>
      </c>
    </row>
    <row r="64" spans="1:6" x14ac:dyDescent="0.3">
      <c r="A64" t="s">
        <v>18</v>
      </c>
      <c r="B64">
        <v>2019</v>
      </c>
      <c r="C64">
        <f>17076+19768</f>
        <v>36844</v>
      </c>
      <c r="D64" t="s">
        <v>28</v>
      </c>
      <c r="E64" t="s">
        <v>28</v>
      </c>
      <c r="F64" t="s">
        <v>28</v>
      </c>
    </row>
    <row r="65" spans="1:6" x14ac:dyDescent="0.3">
      <c r="A65" t="s">
        <v>18</v>
      </c>
      <c r="B65">
        <v>2020</v>
      </c>
      <c r="C65">
        <f>16409+18811</f>
        <v>35220</v>
      </c>
      <c r="D65">
        <v>2271</v>
      </c>
      <c r="E65">
        <v>1200</v>
      </c>
      <c r="F65">
        <v>500</v>
      </c>
    </row>
    <row r="66" spans="1:6" x14ac:dyDescent="0.3">
      <c r="A66" t="s">
        <v>18</v>
      </c>
      <c r="B66">
        <v>2021</v>
      </c>
      <c r="C66">
        <v>47240</v>
      </c>
      <c r="D66">
        <v>1030</v>
      </c>
      <c r="E66">
        <v>774</v>
      </c>
      <c r="F66">
        <v>4</v>
      </c>
    </row>
    <row r="67" spans="1:6" x14ac:dyDescent="0.3">
      <c r="A67" t="s">
        <v>18</v>
      </c>
      <c r="B67">
        <v>2022</v>
      </c>
      <c r="C67">
        <v>50060</v>
      </c>
      <c r="D67">
        <v>1000</v>
      </c>
      <c r="E67">
        <v>780</v>
      </c>
      <c r="F67">
        <v>9</v>
      </c>
    </row>
    <row r="68" spans="1:6" x14ac:dyDescent="0.3">
      <c r="A68" t="s">
        <v>19</v>
      </c>
      <c r="B68">
        <v>2018</v>
      </c>
      <c r="C68">
        <f>9794+16718</f>
        <v>26512</v>
      </c>
      <c r="D68">
        <v>4963</v>
      </c>
      <c r="E68">
        <v>2081</v>
      </c>
      <c r="F68">
        <v>14</v>
      </c>
    </row>
    <row r="69" spans="1:6" x14ac:dyDescent="0.3">
      <c r="A69" t="s">
        <v>19</v>
      </c>
      <c r="B69">
        <v>2019</v>
      </c>
      <c r="C69">
        <f>10045+16933</f>
        <v>26978</v>
      </c>
      <c r="D69">
        <v>5141</v>
      </c>
      <c r="E69">
        <v>2238</v>
      </c>
      <c r="F69">
        <v>3</v>
      </c>
    </row>
    <row r="70" spans="1:6" x14ac:dyDescent="0.3">
      <c r="A70" t="s">
        <v>19</v>
      </c>
      <c r="B70">
        <v>2020</v>
      </c>
      <c r="C70">
        <f>9641+16764</f>
        <v>26405</v>
      </c>
      <c r="D70">
        <v>5673</v>
      </c>
      <c r="E70">
        <v>2512</v>
      </c>
      <c r="F70">
        <v>1316</v>
      </c>
    </row>
    <row r="71" spans="1:6" x14ac:dyDescent="0.3">
      <c r="A71" t="s">
        <v>19</v>
      </c>
      <c r="B71">
        <v>2021</v>
      </c>
      <c r="C71">
        <f>9778+17458</f>
        <v>27236</v>
      </c>
      <c r="D71">
        <v>6187</v>
      </c>
      <c r="E71">
        <v>2798</v>
      </c>
      <c r="F71">
        <v>163</v>
      </c>
    </row>
    <row r="72" spans="1:6" x14ac:dyDescent="0.3">
      <c r="A72" t="s">
        <v>19</v>
      </c>
      <c r="B72">
        <v>2022</v>
      </c>
      <c r="C72">
        <v>27266</v>
      </c>
      <c r="D72">
        <v>5098</v>
      </c>
      <c r="E72">
        <v>2014</v>
      </c>
      <c r="F72">
        <v>1</v>
      </c>
    </row>
    <row r="73" spans="1:6" x14ac:dyDescent="0.3">
      <c r="A73" t="s">
        <v>20</v>
      </c>
      <c r="B73">
        <v>2018</v>
      </c>
      <c r="C73">
        <f>9187+12685</f>
        <v>21872</v>
      </c>
      <c r="D73">
        <v>2593</v>
      </c>
      <c r="E73">
        <v>1754</v>
      </c>
      <c r="F73">
        <v>16</v>
      </c>
    </row>
    <row r="74" spans="1:6" x14ac:dyDescent="0.3">
      <c r="A74" t="s">
        <v>20</v>
      </c>
      <c r="B74">
        <v>2019</v>
      </c>
      <c r="C74">
        <f>9075+13689</f>
        <v>22764</v>
      </c>
      <c r="D74">
        <v>2420</v>
      </c>
      <c r="E74">
        <v>1541</v>
      </c>
      <c r="F74">
        <v>86</v>
      </c>
    </row>
    <row r="75" spans="1:6" x14ac:dyDescent="0.3">
      <c r="A75" t="s">
        <v>20</v>
      </c>
      <c r="B75">
        <v>2020</v>
      </c>
      <c r="C75">
        <f>8535+12655</f>
        <v>21190</v>
      </c>
      <c r="D75">
        <v>2215</v>
      </c>
      <c r="E75">
        <v>1733</v>
      </c>
      <c r="F75">
        <v>275</v>
      </c>
    </row>
    <row r="76" spans="1:6" x14ac:dyDescent="0.3">
      <c r="A76" t="s">
        <v>20</v>
      </c>
      <c r="B76">
        <v>2021</v>
      </c>
      <c r="C76">
        <f>10673+16833</f>
        <v>27506</v>
      </c>
      <c r="D76">
        <v>3277</v>
      </c>
      <c r="E76">
        <v>2543</v>
      </c>
      <c r="F76">
        <v>29</v>
      </c>
    </row>
    <row r="77" spans="1:6" x14ac:dyDescent="0.3">
      <c r="A77" t="s">
        <v>20</v>
      </c>
      <c r="B77">
        <v>2022</v>
      </c>
      <c r="C77">
        <f>10583+16055</f>
        <v>26638</v>
      </c>
      <c r="D77">
        <v>2455</v>
      </c>
      <c r="E77">
        <v>1804</v>
      </c>
      <c r="F77">
        <v>40</v>
      </c>
    </row>
    <row r="78" spans="1:6" x14ac:dyDescent="0.3">
      <c r="A78" t="s">
        <v>21</v>
      </c>
      <c r="B78">
        <v>2018</v>
      </c>
      <c r="C78">
        <f>11652+16039</f>
        <v>27691</v>
      </c>
      <c r="D78">
        <v>3194</v>
      </c>
      <c r="E78">
        <v>220</v>
      </c>
      <c r="F78">
        <v>68</v>
      </c>
    </row>
    <row r="79" spans="1:6" x14ac:dyDescent="0.3">
      <c r="A79" t="s">
        <v>21</v>
      </c>
      <c r="B79">
        <v>2019</v>
      </c>
      <c r="C79">
        <f>11038+15462</f>
        <v>26500</v>
      </c>
      <c r="D79">
        <v>1276</v>
      </c>
      <c r="E79">
        <v>420</v>
      </c>
      <c r="F79">
        <v>314</v>
      </c>
    </row>
    <row r="80" spans="1:6" x14ac:dyDescent="0.3">
      <c r="A80" t="s">
        <v>21</v>
      </c>
      <c r="B80">
        <v>2020</v>
      </c>
      <c r="C80">
        <f>13668+19837</f>
        <v>33505</v>
      </c>
      <c r="D80">
        <v>3207</v>
      </c>
      <c r="E80">
        <v>581</v>
      </c>
      <c r="F80">
        <v>341</v>
      </c>
    </row>
    <row r="81" spans="1:6 16384:16384" x14ac:dyDescent="0.3">
      <c r="A81" t="s">
        <v>21</v>
      </c>
      <c r="B81">
        <v>2021</v>
      </c>
      <c r="C81">
        <v>33965</v>
      </c>
      <c r="D81">
        <v>1861</v>
      </c>
      <c r="E81">
        <v>212</v>
      </c>
      <c r="F81">
        <v>81</v>
      </c>
      <c r="XFD81">
        <v>2</v>
      </c>
    </row>
    <row r="82" spans="1:6 16384:16384" x14ac:dyDescent="0.3">
      <c r="A82" t="s">
        <v>21</v>
      </c>
      <c r="B82">
        <v>2022</v>
      </c>
      <c r="C82">
        <v>35228</v>
      </c>
      <c r="D82">
        <v>819</v>
      </c>
      <c r="E82">
        <v>423</v>
      </c>
      <c r="F82">
        <v>17</v>
      </c>
    </row>
    <row r="83" spans="1:6 16384:16384" x14ac:dyDescent="0.3">
      <c r="A83" t="s">
        <v>22</v>
      </c>
      <c r="B83">
        <v>2018</v>
      </c>
      <c r="C83">
        <v>41816</v>
      </c>
      <c r="D83">
        <v>6327</v>
      </c>
      <c r="E83">
        <v>2983</v>
      </c>
      <c r="F83">
        <v>54</v>
      </c>
    </row>
    <row r="84" spans="1:6 16384:16384" x14ac:dyDescent="0.3">
      <c r="A84" t="s">
        <v>22</v>
      </c>
      <c r="B84">
        <v>2019</v>
      </c>
      <c r="C84">
        <v>45118</v>
      </c>
      <c r="D84">
        <v>6742</v>
      </c>
      <c r="E84">
        <v>3025</v>
      </c>
      <c r="F84">
        <v>511</v>
      </c>
    </row>
    <row r="85" spans="1:6 16384:16384" x14ac:dyDescent="0.3">
      <c r="A85" t="s">
        <v>22</v>
      </c>
      <c r="B85">
        <v>2020</v>
      </c>
      <c r="C85">
        <v>47957</v>
      </c>
      <c r="D85">
        <v>7052</v>
      </c>
      <c r="E85">
        <v>4060</v>
      </c>
      <c r="F85">
        <v>187</v>
      </c>
    </row>
    <row r="86" spans="1:6 16384:16384" x14ac:dyDescent="0.3">
      <c r="A86" t="s">
        <v>22</v>
      </c>
      <c r="B86">
        <v>2021</v>
      </c>
      <c r="C86">
        <v>48929</v>
      </c>
      <c r="D86">
        <v>4986</v>
      </c>
      <c r="E86">
        <v>3411</v>
      </c>
      <c r="F86">
        <v>33</v>
      </c>
    </row>
    <row r="87" spans="1:6 16384:16384" x14ac:dyDescent="0.3">
      <c r="A87" t="s">
        <v>22</v>
      </c>
      <c r="B87">
        <v>2022</v>
      </c>
      <c r="C87">
        <v>54977</v>
      </c>
      <c r="D87">
        <v>6410</v>
      </c>
      <c r="E87">
        <v>3950</v>
      </c>
      <c r="F87">
        <v>19</v>
      </c>
    </row>
    <row r="88" spans="1:6 16384:16384" x14ac:dyDescent="0.3">
      <c r="A88" t="s">
        <v>23</v>
      </c>
      <c r="B88">
        <v>2018</v>
      </c>
      <c r="C88">
        <f>15566+18723</f>
        <v>34289</v>
      </c>
      <c r="D88">
        <v>10405</v>
      </c>
      <c r="E88">
        <v>4041</v>
      </c>
      <c r="F88">
        <v>30</v>
      </c>
    </row>
    <row r="89" spans="1:6 16384:16384" x14ac:dyDescent="0.3">
      <c r="A89" t="s">
        <v>23</v>
      </c>
      <c r="B89">
        <v>2019</v>
      </c>
      <c r="C89">
        <f>17267+21652</f>
        <v>38919</v>
      </c>
      <c r="D89">
        <v>8795</v>
      </c>
      <c r="E89">
        <v>2143</v>
      </c>
      <c r="F89">
        <v>366</v>
      </c>
    </row>
    <row r="90" spans="1:6 16384:16384" x14ac:dyDescent="0.3">
      <c r="A90" t="s">
        <v>23</v>
      </c>
      <c r="B90">
        <v>2020</v>
      </c>
      <c r="C90">
        <f>17332+22799</f>
        <v>40131</v>
      </c>
      <c r="D90">
        <v>11444</v>
      </c>
      <c r="E90">
        <v>3664</v>
      </c>
      <c r="F90">
        <v>781</v>
      </c>
    </row>
    <row r="91" spans="1:6 16384:16384" x14ac:dyDescent="0.3">
      <c r="A91" t="s">
        <v>23</v>
      </c>
      <c r="B91">
        <v>2021</v>
      </c>
      <c r="C91">
        <f>17313+24931</f>
        <v>42244</v>
      </c>
      <c r="D91">
        <v>13095</v>
      </c>
      <c r="E91">
        <v>4643</v>
      </c>
      <c r="F91">
        <v>13</v>
      </c>
    </row>
    <row r="92" spans="1:6 16384:16384" x14ac:dyDescent="0.3">
      <c r="A92" t="s">
        <v>23</v>
      </c>
      <c r="B92">
        <v>2022</v>
      </c>
      <c r="C92">
        <f>20267+28900</f>
        <v>49167</v>
      </c>
      <c r="D92">
        <v>20206</v>
      </c>
      <c r="E92">
        <v>8545</v>
      </c>
      <c r="F92">
        <v>115</v>
      </c>
    </row>
    <row r="93" spans="1:6 16384:16384" x14ac:dyDescent="0.3">
      <c r="A93" t="s">
        <v>24</v>
      </c>
      <c r="B93">
        <v>2018</v>
      </c>
      <c r="C93">
        <v>35612</v>
      </c>
      <c r="D93">
        <v>3511</v>
      </c>
      <c r="E93">
        <v>2265</v>
      </c>
      <c r="F93">
        <v>72</v>
      </c>
    </row>
    <row r="94" spans="1:6 16384:16384" x14ac:dyDescent="0.3">
      <c r="A94" t="s">
        <v>24</v>
      </c>
      <c r="B94">
        <v>2019</v>
      </c>
      <c r="C94">
        <v>36856</v>
      </c>
      <c r="D94">
        <v>3800</v>
      </c>
      <c r="E94">
        <v>2623</v>
      </c>
      <c r="F94">
        <v>632</v>
      </c>
    </row>
    <row r="95" spans="1:6 16384:16384" x14ac:dyDescent="0.3">
      <c r="A95" t="s">
        <v>24</v>
      </c>
      <c r="B95">
        <v>2020</v>
      </c>
      <c r="C95">
        <v>40852</v>
      </c>
      <c r="D95">
        <v>6214</v>
      </c>
      <c r="E95">
        <v>4235</v>
      </c>
      <c r="F95">
        <v>853</v>
      </c>
    </row>
    <row r="96" spans="1:6 16384:16384" x14ac:dyDescent="0.3">
      <c r="A96" t="s">
        <v>24</v>
      </c>
      <c r="B96">
        <v>2021</v>
      </c>
      <c r="C96">
        <v>45388</v>
      </c>
      <c r="D96">
        <v>6613</v>
      </c>
      <c r="E96">
        <v>4916</v>
      </c>
      <c r="F96">
        <v>276</v>
      </c>
    </row>
    <row r="97" spans="1:6" x14ac:dyDescent="0.3">
      <c r="A97" t="s">
        <v>24</v>
      </c>
      <c r="B97">
        <v>2022</v>
      </c>
      <c r="C97">
        <v>50160</v>
      </c>
      <c r="D97">
        <v>7122</v>
      </c>
      <c r="E97">
        <v>4903</v>
      </c>
      <c r="F97">
        <v>41</v>
      </c>
    </row>
    <row r="98" spans="1:6" x14ac:dyDescent="0.3">
      <c r="A98" t="s">
        <v>25</v>
      </c>
      <c r="B98">
        <v>2018</v>
      </c>
      <c r="C98">
        <f>10180+15847</f>
        <v>26027</v>
      </c>
      <c r="D98">
        <v>1257</v>
      </c>
      <c r="E98">
        <v>704</v>
      </c>
      <c r="F98">
        <v>32</v>
      </c>
    </row>
    <row r="99" spans="1:6" x14ac:dyDescent="0.3">
      <c r="A99" t="s">
        <v>25</v>
      </c>
      <c r="B99">
        <v>2019</v>
      </c>
      <c r="C99">
        <f>11458+17607</f>
        <v>29065</v>
      </c>
      <c r="D99">
        <v>1542</v>
      </c>
      <c r="E99">
        <v>897</v>
      </c>
      <c r="F99">
        <v>150</v>
      </c>
    </row>
    <row r="100" spans="1:6" x14ac:dyDescent="0.3">
      <c r="A100" t="s">
        <v>25</v>
      </c>
      <c r="B100">
        <v>2020</v>
      </c>
      <c r="C100">
        <f>11067+16957</f>
        <v>28024</v>
      </c>
      <c r="D100">
        <v>1157</v>
      </c>
      <c r="E100">
        <v>693</v>
      </c>
      <c r="F100">
        <v>493</v>
      </c>
    </row>
    <row r="101" spans="1:6" x14ac:dyDescent="0.3">
      <c r="A101" t="s">
        <v>25</v>
      </c>
      <c r="B101">
        <v>2021</v>
      </c>
      <c r="C101">
        <f>15408+23682</f>
        <v>39090</v>
      </c>
      <c r="D101">
        <v>1893</v>
      </c>
      <c r="E101">
        <v>1025</v>
      </c>
      <c r="F101">
        <v>277</v>
      </c>
    </row>
    <row r="102" spans="1:6" x14ac:dyDescent="0.3">
      <c r="A102" t="s">
        <v>25</v>
      </c>
      <c r="B102">
        <v>2022</v>
      </c>
      <c r="C102">
        <f>16242+23112</f>
        <v>39354</v>
      </c>
      <c r="D102">
        <v>3022</v>
      </c>
      <c r="E102">
        <v>1543</v>
      </c>
      <c r="F102">
        <v>34</v>
      </c>
    </row>
    <row r="103" spans="1:6" x14ac:dyDescent="0.3">
      <c r="A103" t="s">
        <v>26</v>
      </c>
      <c r="B103">
        <v>2018</v>
      </c>
      <c r="C103">
        <f>12345+14361</f>
        <v>26706</v>
      </c>
      <c r="D103" t="s">
        <v>28</v>
      </c>
      <c r="E103" t="s">
        <v>28</v>
      </c>
      <c r="F103" t="s">
        <v>28</v>
      </c>
    </row>
    <row r="104" spans="1:6" x14ac:dyDescent="0.3">
      <c r="A104" t="s">
        <v>26</v>
      </c>
      <c r="B104">
        <v>2019</v>
      </c>
      <c r="C104">
        <f>11595+14333</f>
        <v>25928</v>
      </c>
      <c r="D104">
        <v>12</v>
      </c>
      <c r="E104">
        <v>10</v>
      </c>
      <c r="F104">
        <v>4</v>
      </c>
    </row>
    <row r="105" spans="1:6" x14ac:dyDescent="0.3">
      <c r="A105" t="s">
        <v>26</v>
      </c>
      <c r="B105">
        <v>2020</v>
      </c>
      <c r="C105">
        <f>10828+13304</f>
        <v>24132</v>
      </c>
      <c r="D105">
        <v>0</v>
      </c>
      <c r="E105">
        <v>0</v>
      </c>
      <c r="F105">
        <v>0</v>
      </c>
    </row>
    <row r="106" spans="1:6" x14ac:dyDescent="0.3">
      <c r="A106" t="s">
        <v>26</v>
      </c>
      <c r="B106">
        <v>2021</v>
      </c>
      <c r="C106">
        <f>9560+12835</f>
        <v>22395</v>
      </c>
      <c r="D106">
        <v>252</v>
      </c>
      <c r="E106">
        <v>252</v>
      </c>
      <c r="F106">
        <v>62</v>
      </c>
    </row>
    <row r="107" spans="1:6" x14ac:dyDescent="0.3">
      <c r="A107" t="s">
        <v>26</v>
      </c>
      <c r="B107">
        <v>2022</v>
      </c>
      <c r="C107">
        <f>11278+14388</f>
        <v>25666</v>
      </c>
      <c r="D107" t="s">
        <v>28</v>
      </c>
      <c r="E107" t="s">
        <v>28</v>
      </c>
      <c r="F107" t="s">
        <v>28</v>
      </c>
    </row>
    <row r="108" spans="1:6" x14ac:dyDescent="0.3">
      <c r="A108" t="s">
        <v>27</v>
      </c>
      <c r="B108">
        <v>2018</v>
      </c>
      <c r="C108">
        <f>20452+23717</f>
        <v>44169</v>
      </c>
      <c r="D108">
        <v>2835</v>
      </c>
      <c r="E108">
        <v>467</v>
      </c>
      <c r="F108">
        <v>427</v>
      </c>
    </row>
    <row r="109" spans="1:6" x14ac:dyDescent="0.3">
      <c r="A109" t="s">
        <v>27</v>
      </c>
      <c r="B109">
        <v>2019</v>
      </c>
      <c r="C109">
        <f>19783+23199</f>
        <v>42982</v>
      </c>
      <c r="D109">
        <v>1945</v>
      </c>
      <c r="E109">
        <v>417</v>
      </c>
      <c r="F109">
        <v>6</v>
      </c>
    </row>
    <row r="110" spans="1:6" x14ac:dyDescent="0.3">
      <c r="A110" t="s">
        <v>27</v>
      </c>
      <c r="B110">
        <v>2020</v>
      </c>
      <c r="C110">
        <f>20538+23591</f>
        <v>44129</v>
      </c>
      <c r="D110">
        <v>640</v>
      </c>
      <c r="E110">
        <v>150</v>
      </c>
      <c r="F110">
        <v>80</v>
      </c>
    </row>
    <row r="111" spans="1:6" x14ac:dyDescent="0.3">
      <c r="A111" t="s">
        <v>27</v>
      </c>
      <c r="B111">
        <v>2021</v>
      </c>
      <c r="C111">
        <v>46548</v>
      </c>
      <c r="D111" t="s">
        <v>28</v>
      </c>
      <c r="E111" t="s">
        <v>28</v>
      </c>
      <c r="F111" t="s">
        <v>28</v>
      </c>
    </row>
    <row r="112" spans="1:6" x14ac:dyDescent="0.3">
      <c r="A112" t="s">
        <v>27</v>
      </c>
      <c r="B112">
        <v>2022</v>
      </c>
      <c r="C112">
        <v>50080</v>
      </c>
      <c r="D112">
        <v>782</v>
      </c>
      <c r="E112">
        <v>402</v>
      </c>
      <c r="F112">
        <v>25</v>
      </c>
    </row>
    <row r="113" spans="1:6" x14ac:dyDescent="0.3">
      <c r="A113" t="s">
        <v>29</v>
      </c>
      <c r="B113">
        <v>2018</v>
      </c>
      <c r="C113">
        <f>32556+20883</f>
        <v>53439</v>
      </c>
      <c r="D113">
        <v>5276</v>
      </c>
      <c r="E113">
        <v>4409</v>
      </c>
      <c r="F113">
        <v>565</v>
      </c>
    </row>
    <row r="114" spans="1:6" x14ac:dyDescent="0.3">
      <c r="A114" t="s">
        <v>29</v>
      </c>
      <c r="B114">
        <v>2019</v>
      </c>
      <c r="C114">
        <f>33578+21334</f>
        <v>54912</v>
      </c>
      <c r="D114">
        <v>5755</v>
      </c>
      <c r="E114">
        <v>3378</v>
      </c>
      <c r="F114">
        <v>1542</v>
      </c>
    </row>
    <row r="115" spans="1:6" x14ac:dyDescent="0.3">
      <c r="A115" t="s">
        <v>29</v>
      </c>
      <c r="B115">
        <v>2020</v>
      </c>
      <c r="C115">
        <f>35239+22040</f>
        <v>57279</v>
      </c>
      <c r="D115">
        <v>5307</v>
      </c>
      <c r="E115">
        <v>2740</v>
      </c>
      <c r="F115">
        <v>90</v>
      </c>
    </row>
    <row r="116" spans="1:6" x14ac:dyDescent="0.3">
      <c r="A116" t="s">
        <v>29</v>
      </c>
      <c r="B116">
        <v>2021</v>
      </c>
      <c r="C116">
        <v>59713</v>
      </c>
      <c r="D116">
        <v>6048</v>
      </c>
      <c r="E116">
        <v>3442</v>
      </c>
      <c r="F116">
        <v>13</v>
      </c>
    </row>
    <row r="117" spans="1:6" x14ac:dyDescent="0.3">
      <c r="A117" t="s">
        <v>29</v>
      </c>
      <c r="B117">
        <v>2022</v>
      </c>
      <c r="C117">
        <f>41841+26488</f>
        <v>68329</v>
      </c>
      <c r="D117">
        <v>13290</v>
      </c>
      <c r="E117">
        <v>5548</v>
      </c>
      <c r="F117">
        <v>19</v>
      </c>
    </row>
    <row r="118" spans="1:6" x14ac:dyDescent="0.3">
      <c r="A118" t="s">
        <v>32</v>
      </c>
      <c r="B118">
        <v>2018</v>
      </c>
      <c r="C118">
        <f>14621+24195</f>
        <v>38816</v>
      </c>
      <c r="D118">
        <v>10384</v>
      </c>
      <c r="E118">
        <v>3111</v>
      </c>
      <c r="F118">
        <v>2</v>
      </c>
    </row>
    <row r="119" spans="1:6" x14ac:dyDescent="0.3">
      <c r="A119" t="s">
        <v>32</v>
      </c>
      <c r="B119">
        <v>2019</v>
      </c>
      <c r="C119">
        <f>15647+26538</f>
        <v>42185</v>
      </c>
      <c r="D119">
        <v>5412</v>
      </c>
      <c r="E119">
        <v>1271</v>
      </c>
      <c r="F119">
        <v>0</v>
      </c>
    </row>
    <row r="120" spans="1:6" x14ac:dyDescent="0.3">
      <c r="A120" t="s">
        <v>32</v>
      </c>
      <c r="B120">
        <v>2020</v>
      </c>
      <c r="C120">
        <f>16241+27651</f>
        <v>43892</v>
      </c>
      <c r="D120">
        <v>12813</v>
      </c>
      <c r="E120">
        <v>4486</v>
      </c>
      <c r="F120">
        <v>72</v>
      </c>
    </row>
    <row r="121" spans="1:6" x14ac:dyDescent="0.3">
      <c r="A121" t="s">
        <v>32</v>
      </c>
      <c r="B121">
        <v>2021</v>
      </c>
      <c r="C121">
        <f>15647+29878</f>
        <v>45525</v>
      </c>
      <c r="D121">
        <v>5072</v>
      </c>
      <c r="E121">
        <v>1871</v>
      </c>
      <c r="F121">
        <v>0</v>
      </c>
    </row>
    <row r="122" spans="1:6" x14ac:dyDescent="0.3">
      <c r="A122" t="s">
        <v>32</v>
      </c>
      <c r="B122">
        <v>2022</v>
      </c>
      <c r="C122">
        <f>11129+20486</f>
        <v>31615</v>
      </c>
      <c r="D122">
        <v>6232</v>
      </c>
      <c r="E122">
        <v>2271</v>
      </c>
      <c r="F122">
        <v>3</v>
      </c>
    </row>
    <row r="123" spans="1:6" x14ac:dyDescent="0.3">
      <c r="A123" t="s">
        <v>33</v>
      </c>
      <c r="B123">
        <v>2018</v>
      </c>
      <c r="C123">
        <v>64481</v>
      </c>
      <c r="D123">
        <v>5441</v>
      </c>
      <c r="E123">
        <v>3446</v>
      </c>
      <c r="F123">
        <v>1</v>
      </c>
    </row>
    <row r="124" spans="1:6" x14ac:dyDescent="0.3">
      <c r="A124" t="s">
        <v>33</v>
      </c>
      <c r="B124">
        <v>2019</v>
      </c>
      <c r="C124">
        <v>62224</v>
      </c>
      <c r="D124">
        <v>5235</v>
      </c>
      <c r="E124">
        <v>2987</v>
      </c>
      <c r="F124">
        <v>339</v>
      </c>
    </row>
    <row r="125" spans="1:6" x14ac:dyDescent="0.3">
      <c r="A125" t="s">
        <v>33</v>
      </c>
      <c r="B125">
        <v>2020</v>
      </c>
      <c r="C125">
        <v>61007</v>
      </c>
      <c r="D125">
        <v>8791</v>
      </c>
      <c r="E125">
        <v>5592</v>
      </c>
      <c r="F125">
        <v>674</v>
      </c>
    </row>
    <row r="126" spans="1:6" x14ac:dyDescent="0.3">
      <c r="A126" t="s">
        <v>33</v>
      </c>
      <c r="B126">
        <v>2021</v>
      </c>
      <c r="C126">
        <v>75778</v>
      </c>
      <c r="D126">
        <v>14991</v>
      </c>
      <c r="E126">
        <v>8944</v>
      </c>
      <c r="F126">
        <v>1</v>
      </c>
    </row>
    <row r="127" spans="1:6" x14ac:dyDescent="0.3">
      <c r="A127" t="s">
        <v>33</v>
      </c>
      <c r="B127">
        <v>2022</v>
      </c>
      <c r="C127">
        <f>32176+48314</f>
        <v>80490</v>
      </c>
      <c r="D127">
        <v>15033</v>
      </c>
      <c r="E127">
        <v>8907</v>
      </c>
      <c r="F127">
        <v>34</v>
      </c>
    </row>
    <row r="128" spans="1:6" x14ac:dyDescent="0.3">
      <c r="A128" t="s">
        <v>34</v>
      </c>
      <c r="B128">
        <v>2018</v>
      </c>
      <c r="C128">
        <f>8933+12568</f>
        <v>21501</v>
      </c>
      <c r="D128">
        <v>1957</v>
      </c>
      <c r="E128">
        <v>723</v>
      </c>
      <c r="F128">
        <v>8</v>
      </c>
    </row>
    <row r="129" spans="1:6" x14ac:dyDescent="0.3">
      <c r="A129" t="s">
        <v>34</v>
      </c>
      <c r="B129">
        <v>2019</v>
      </c>
      <c r="C129">
        <f>9407+13359</f>
        <v>22766</v>
      </c>
      <c r="D129">
        <v>1441</v>
      </c>
      <c r="E129">
        <v>524</v>
      </c>
      <c r="F129">
        <v>84</v>
      </c>
    </row>
    <row r="130" spans="1:6" x14ac:dyDescent="0.3">
      <c r="A130" t="s">
        <v>34</v>
      </c>
      <c r="B130">
        <v>2020</v>
      </c>
      <c r="C130">
        <f>9889+13238</f>
        <v>23127</v>
      </c>
      <c r="D130">
        <v>2136</v>
      </c>
      <c r="E130">
        <v>1017</v>
      </c>
      <c r="F130">
        <v>222</v>
      </c>
    </row>
    <row r="131" spans="1:6" x14ac:dyDescent="0.3">
      <c r="A131" t="s">
        <v>34</v>
      </c>
      <c r="B131">
        <v>2021</v>
      </c>
      <c r="C131">
        <v>31198</v>
      </c>
      <c r="D131">
        <v>2579</v>
      </c>
      <c r="E131">
        <v>1264</v>
      </c>
      <c r="F131">
        <v>0</v>
      </c>
    </row>
    <row r="132" spans="1:6" x14ac:dyDescent="0.3">
      <c r="A132" t="s">
        <v>34</v>
      </c>
      <c r="B132">
        <v>2022</v>
      </c>
      <c r="C132">
        <v>34881</v>
      </c>
      <c r="D132">
        <v>2664</v>
      </c>
      <c r="E132">
        <v>1328</v>
      </c>
      <c r="F132">
        <v>183</v>
      </c>
    </row>
    <row r="133" spans="1:6" x14ac:dyDescent="0.3">
      <c r="A133" t="s">
        <v>35</v>
      </c>
      <c r="B133">
        <v>2018</v>
      </c>
      <c r="C133">
        <f>19982+21630</f>
        <v>41612</v>
      </c>
      <c r="D133">
        <v>6250</v>
      </c>
      <c r="E133">
        <v>2911</v>
      </c>
      <c r="F133">
        <v>39</v>
      </c>
    </row>
    <row r="134" spans="1:6" x14ac:dyDescent="0.3">
      <c r="A134" t="s">
        <v>35</v>
      </c>
      <c r="B134">
        <v>2019</v>
      </c>
      <c r="C134">
        <f>20091+22066</f>
        <v>42157</v>
      </c>
      <c r="D134">
        <v>2188</v>
      </c>
      <c r="E134">
        <v>1013</v>
      </c>
      <c r="F134">
        <v>0</v>
      </c>
    </row>
    <row r="135" spans="1:6" x14ac:dyDescent="0.3">
      <c r="A135" t="s">
        <v>35</v>
      </c>
      <c r="B135">
        <v>2020</v>
      </c>
      <c r="C135">
        <f>19293+21022</f>
        <v>40315</v>
      </c>
      <c r="D135">
        <v>4381</v>
      </c>
      <c r="E135">
        <v>2326</v>
      </c>
      <c r="F135">
        <v>396</v>
      </c>
    </row>
    <row r="136" spans="1:6" x14ac:dyDescent="0.3">
      <c r="A136" t="s">
        <v>35</v>
      </c>
      <c r="B136">
        <v>2021</v>
      </c>
      <c r="C136">
        <v>42540</v>
      </c>
      <c r="D136">
        <v>4056</v>
      </c>
      <c r="E136">
        <v>2361</v>
      </c>
      <c r="F136">
        <v>1055</v>
      </c>
    </row>
    <row r="137" spans="1:6" x14ac:dyDescent="0.3">
      <c r="A137" t="s">
        <v>35</v>
      </c>
      <c r="B137">
        <v>2022</v>
      </c>
      <c r="C137">
        <v>45451</v>
      </c>
      <c r="D137">
        <v>8531</v>
      </c>
      <c r="E137">
        <v>3681</v>
      </c>
      <c r="F137">
        <v>74</v>
      </c>
    </row>
    <row r="138" spans="1:6" x14ac:dyDescent="0.3">
      <c r="A138" t="s">
        <v>36</v>
      </c>
      <c r="B138">
        <v>2018</v>
      </c>
      <c r="C138">
        <f>5536+6184</f>
        <v>11720</v>
      </c>
      <c r="D138">
        <v>443</v>
      </c>
      <c r="E138">
        <v>443</v>
      </c>
      <c r="F138">
        <v>74</v>
      </c>
    </row>
    <row r="139" spans="1:6" x14ac:dyDescent="0.3">
      <c r="A139" t="s">
        <v>36</v>
      </c>
      <c r="B139">
        <v>2019</v>
      </c>
      <c r="C139">
        <f>5567+6275</f>
        <v>11842</v>
      </c>
      <c r="D139">
        <v>444</v>
      </c>
      <c r="E139">
        <v>444</v>
      </c>
      <c r="F139">
        <v>412</v>
      </c>
    </row>
    <row r="140" spans="1:6" x14ac:dyDescent="0.3">
      <c r="A140" t="s">
        <v>36</v>
      </c>
      <c r="B140">
        <v>2020</v>
      </c>
      <c r="C140">
        <f>5412+6047</f>
        <v>11459</v>
      </c>
      <c r="D140">
        <v>756</v>
      </c>
      <c r="E140">
        <v>756</v>
      </c>
      <c r="F140">
        <v>712</v>
      </c>
    </row>
    <row r="141" spans="1:6" x14ac:dyDescent="0.3">
      <c r="A141" t="s">
        <v>36</v>
      </c>
      <c r="B141">
        <v>2021</v>
      </c>
      <c r="C141">
        <v>11093</v>
      </c>
      <c r="D141">
        <v>1114</v>
      </c>
      <c r="E141">
        <v>1114</v>
      </c>
      <c r="F141">
        <v>809</v>
      </c>
    </row>
    <row r="142" spans="1:6" x14ac:dyDescent="0.3">
      <c r="A142" t="s">
        <v>36</v>
      </c>
      <c r="B142">
        <v>2022</v>
      </c>
      <c r="C142">
        <v>11534</v>
      </c>
      <c r="D142">
        <v>1116</v>
      </c>
      <c r="E142">
        <v>1116</v>
      </c>
      <c r="F142">
        <v>977</v>
      </c>
    </row>
    <row r="143" spans="1:6" x14ac:dyDescent="0.3">
      <c r="A143" t="s">
        <v>37</v>
      </c>
      <c r="B143">
        <v>2018</v>
      </c>
      <c r="C143">
        <f>33462</f>
        <v>33462</v>
      </c>
      <c r="D143">
        <v>0</v>
      </c>
      <c r="E143">
        <v>0</v>
      </c>
      <c r="F143">
        <v>0</v>
      </c>
    </row>
    <row r="144" spans="1:6" x14ac:dyDescent="0.3">
      <c r="A144" t="s">
        <v>37</v>
      </c>
      <c r="B144">
        <v>2019</v>
      </c>
      <c r="C144">
        <f>32987</f>
        <v>32987</v>
      </c>
      <c r="D144">
        <v>207</v>
      </c>
      <c r="E144">
        <v>195</v>
      </c>
      <c r="F144">
        <v>29</v>
      </c>
    </row>
    <row r="145" spans="1:6" x14ac:dyDescent="0.3">
      <c r="A145" t="s">
        <v>37</v>
      </c>
      <c r="B145">
        <v>2020</v>
      </c>
      <c r="C145">
        <f>15648+16563</f>
        <v>32211</v>
      </c>
      <c r="D145" t="s">
        <v>28</v>
      </c>
      <c r="E145" t="s">
        <v>28</v>
      </c>
      <c r="F145" t="s">
        <v>28</v>
      </c>
    </row>
    <row r="146" spans="1:6" x14ac:dyDescent="0.3">
      <c r="A146" t="s">
        <v>37</v>
      </c>
      <c r="B146">
        <v>2021</v>
      </c>
      <c r="C146">
        <v>50146</v>
      </c>
      <c r="D146" t="s">
        <v>28</v>
      </c>
      <c r="E146" t="s">
        <v>28</v>
      </c>
      <c r="F146" t="s">
        <v>28</v>
      </c>
    </row>
    <row r="147" spans="1:6" x14ac:dyDescent="0.3">
      <c r="A147" t="s">
        <v>37</v>
      </c>
      <c r="B147">
        <v>2022</v>
      </c>
      <c r="C147">
        <v>56637</v>
      </c>
      <c r="D147">
        <v>300</v>
      </c>
      <c r="E147">
        <v>300</v>
      </c>
      <c r="F147">
        <v>0</v>
      </c>
    </row>
    <row r="148" spans="1:6" x14ac:dyDescent="0.3">
      <c r="A148" t="s">
        <v>38</v>
      </c>
      <c r="B148">
        <v>2018</v>
      </c>
      <c r="C148">
        <v>64917</v>
      </c>
      <c r="D148">
        <v>14783</v>
      </c>
      <c r="E148">
        <v>6000</v>
      </c>
      <c r="F148">
        <v>415</v>
      </c>
    </row>
    <row r="149" spans="1:6" x14ac:dyDescent="0.3">
      <c r="A149" t="s">
        <v>38</v>
      </c>
      <c r="B149">
        <v>2019</v>
      </c>
      <c r="C149">
        <v>64972</v>
      </c>
      <c r="D149">
        <v>12577</v>
      </c>
      <c r="E149">
        <v>4922</v>
      </c>
      <c r="F149">
        <v>89</v>
      </c>
    </row>
    <row r="150" spans="1:6" x14ac:dyDescent="0.3">
      <c r="A150" t="s">
        <v>38</v>
      </c>
      <c r="B150">
        <v>2020</v>
      </c>
      <c r="C150">
        <v>65021</v>
      </c>
      <c r="D150">
        <v>20723</v>
      </c>
      <c r="E150">
        <v>9856</v>
      </c>
      <c r="F150">
        <v>1248</v>
      </c>
    </row>
    <row r="151" spans="1:6" x14ac:dyDescent="0.3">
      <c r="A151" t="s">
        <v>38</v>
      </c>
      <c r="B151">
        <v>2021</v>
      </c>
      <c r="C151">
        <v>79743</v>
      </c>
      <c r="D151">
        <v>17805</v>
      </c>
      <c r="E151">
        <v>13063</v>
      </c>
      <c r="F151">
        <v>68</v>
      </c>
    </row>
    <row r="152" spans="1:6" x14ac:dyDescent="0.3">
      <c r="A152" t="s">
        <v>38</v>
      </c>
      <c r="B152">
        <v>2022</v>
      </c>
      <c r="C152">
        <v>84289</v>
      </c>
      <c r="D152">
        <v>21078</v>
      </c>
      <c r="E152">
        <v>15076</v>
      </c>
      <c r="F152">
        <v>77</v>
      </c>
    </row>
    <row r="153" spans="1:6" x14ac:dyDescent="0.3">
      <c r="A153" t="s">
        <v>39</v>
      </c>
      <c r="B153">
        <v>2018</v>
      </c>
      <c r="C153">
        <f>10540+11493</f>
        <v>22033</v>
      </c>
      <c r="D153">
        <v>1925</v>
      </c>
      <c r="E153">
        <v>1292</v>
      </c>
      <c r="F153">
        <v>0</v>
      </c>
    </row>
    <row r="154" spans="1:6" x14ac:dyDescent="0.3">
      <c r="A154" t="s">
        <v>39</v>
      </c>
      <c r="B154">
        <v>2019</v>
      </c>
      <c r="C154">
        <f>11384+12266</f>
        <v>23650</v>
      </c>
      <c r="D154">
        <v>2151</v>
      </c>
      <c r="E154">
        <v>1381</v>
      </c>
      <c r="F154">
        <v>0</v>
      </c>
    </row>
    <row r="155" spans="1:6" x14ac:dyDescent="0.3">
      <c r="A155" t="s">
        <v>39</v>
      </c>
      <c r="B155">
        <v>2020</v>
      </c>
      <c r="C155">
        <v>21392</v>
      </c>
      <c r="D155">
        <v>2661</v>
      </c>
      <c r="E155">
        <v>1945</v>
      </c>
      <c r="F155">
        <v>95</v>
      </c>
    </row>
    <row r="156" spans="1:6" x14ac:dyDescent="0.3">
      <c r="A156" t="s">
        <v>39</v>
      </c>
      <c r="B156">
        <v>2021</v>
      </c>
      <c r="C156">
        <v>28356</v>
      </c>
      <c r="D156">
        <v>2669</v>
      </c>
      <c r="E156">
        <v>2120</v>
      </c>
      <c r="F156">
        <v>0</v>
      </c>
    </row>
    <row r="157" spans="1:6" x14ac:dyDescent="0.3">
      <c r="A157" t="s">
        <v>39</v>
      </c>
      <c r="B157">
        <v>2022</v>
      </c>
      <c r="C157">
        <v>28336</v>
      </c>
      <c r="D157">
        <v>2098</v>
      </c>
      <c r="E157">
        <v>1785</v>
      </c>
      <c r="F157">
        <v>41</v>
      </c>
    </row>
    <row r="158" spans="1:6" x14ac:dyDescent="0.3">
      <c r="A158" t="s">
        <v>40</v>
      </c>
      <c r="B158">
        <v>2018</v>
      </c>
      <c r="C158">
        <f>1783+25690</f>
        <v>27473</v>
      </c>
      <c r="D158">
        <v>4977</v>
      </c>
      <c r="E158">
        <v>2300</v>
      </c>
      <c r="F158">
        <v>22</v>
      </c>
    </row>
    <row r="159" spans="1:6" x14ac:dyDescent="0.3">
      <c r="A159" t="s">
        <v>40</v>
      </c>
      <c r="B159">
        <v>2019</v>
      </c>
      <c r="C159">
        <v>42466</v>
      </c>
      <c r="D159">
        <v>5572</v>
      </c>
      <c r="E159">
        <v>3717</v>
      </c>
      <c r="F159">
        <v>156</v>
      </c>
    </row>
    <row r="160" spans="1:6" x14ac:dyDescent="0.3">
      <c r="A160" t="s">
        <v>40</v>
      </c>
      <c r="B160">
        <v>2020</v>
      </c>
      <c r="C160">
        <v>44382</v>
      </c>
      <c r="D160">
        <v>5620</v>
      </c>
      <c r="E160">
        <v>3887</v>
      </c>
      <c r="F160">
        <v>647</v>
      </c>
    </row>
    <row r="161" spans="1:6" x14ac:dyDescent="0.3">
      <c r="A161" t="s">
        <v>40</v>
      </c>
      <c r="B161">
        <v>2021</v>
      </c>
      <c r="C161">
        <v>53776</v>
      </c>
      <c r="D161">
        <v>8957</v>
      </c>
      <c r="E161">
        <v>6564</v>
      </c>
      <c r="F161">
        <v>647</v>
      </c>
    </row>
    <row r="162" spans="1:6" x14ac:dyDescent="0.3">
      <c r="A162" t="s">
        <v>40</v>
      </c>
      <c r="B162">
        <v>2022</v>
      </c>
      <c r="C162">
        <v>57221</v>
      </c>
      <c r="D162">
        <v>7258</v>
      </c>
      <c r="E162">
        <v>5392</v>
      </c>
      <c r="F162">
        <v>383</v>
      </c>
    </row>
    <row r="163" spans="1:6" x14ac:dyDescent="0.3">
      <c r="A163" t="s">
        <v>41</v>
      </c>
      <c r="B163">
        <v>2018</v>
      </c>
      <c r="C163">
        <v>31093</v>
      </c>
      <c r="D163">
        <v>4133</v>
      </c>
      <c r="E163">
        <v>4127</v>
      </c>
      <c r="F163">
        <v>20</v>
      </c>
    </row>
    <row r="164" spans="1:6" x14ac:dyDescent="0.3">
      <c r="A164" t="s">
        <v>41</v>
      </c>
      <c r="B164">
        <v>2019</v>
      </c>
      <c r="C164">
        <f>15578+15548</f>
        <v>31126</v>
      </c>
      <c r="D164">
        <v>5093</v>
      </c>
      <c r="E164">
        <v>1869</v>
      </c>
      <c r="F164">
        <v>0</v>
      </c>
    </row>
    <row r="165" spans="1:6" x14ac:dyDescent="0.3">
      <c r="A165" t="s">
        <v>41</v>
      </c>
      <c r="B165">
        <v>2020</v>
      </c>
      <c r="C165">
        <v>37314</v>
      </c>
      <c r="D165">
        <v>4567</v>
      </c>
      <c r="E165">
        <v>1681</v>
      </c>
      <c r="F165">
        <v>232</v>
      </c>
    </row>
    <row r="166" spans="1:6" x14ac:dyDescent="0.3">
      <c r="A166" t="s">
        <v>41</v>
      </c>
      <c r="B166">
        <v>2021</v>
      </c>
      <c r="C166">
        <v>32893</v>
      </c>
      <c r="D166">
        <v>7289</v>
      </c>
      <c r="E166">
        <v>2340</v>
      </c>
      <c r="F166">
        <v>14</v>
      </c>
    </row>
    <row r="167" spans="1:6" x14ac:dyDescent="0.3">
      <c r="A167" t="s">
        <v>41</v>
      </c>
      <c r="B167">
        <v>2022</v>
      </c>
      <c r="C167">
        <v>35420</v>
      </c>
      <c r="D167">
        <v>7439</v>
      </c>
      <c r="E167">
        <v>2689</v>
      </c>
      <c r="F167">
        <v>0</v>
      </c>
    </row>
    <row r="168" spans="1:6" x14ac:dyDescent="0.3">
      <c r="A168" t="s">
        <v>43</v>
      </c>
      <c r="B168">
        <v>2018</v>
      </c>
      <c r="C168">
        <f>15266+19715</f>
        <v>34981</v>
      </c>
      <c r="D168">
        <v>6523</v>
      </c>
      <c r="E168">
        <v>2087</v>
      </c>
      <c r="F168">
        <v>609</v>
      </c>
    </row>
    <row r="169" spans="1:6" x14ac:dyDescent="0.3">
      <c r="A169" t="s">
        <v>43</v>
      </c>
      <c r="B169">
        <v>2019</v>
      </c>
      <c r="C169">
        <f>15276+20023</f>
        <v>35299</v>
      </c>
      <c r="D169">
        <v>8859</v>
      </c>
      <c r="E169">
        <v>3158</v>
      </c>
      <c r="F169">
        <v>611</v>
      </c>
    </row>
    <row r="170" spans="1:6" x14ac:dyDescent="0.3">
      <c r="A170" t="s">
        <v>43</v>
      </c>
      <c r="B170">
        <v>2020</v>
      </c>
      <c r="C170">
        <f>13877+18128</f>
        <v>32005</v>
      </c>
      <c r="D170">
        <v>6340</v>
      </c>
      <c r="E170">
        <v>2498</v>
      </c>
      <c r="F170">
        <v>5470</v>
      </c>
    </row>
    <row r="171" spans="1:6" x14ac:dyDescent="0.3">
      <c r="A171" t="s">
        <v>43</v>
      </c>
      <c r="B171">
        <v>2021</v>
      </c>
      <c r="C171">
        <v>39682</v>
      </c>
      <c r="D171">
        <v>8898</v>
      </c>
      <c r="E171">
        <v>3765</v>
      </c>
      <c r="F171">
        <v>480</v>
      </c>
    </row>
    <row r="172" spans="1:6" x14ac:dyDescent="0.3">
      <c r="A172" t="s">
        <v>43</v>
      </c>
      <c r="B172">
        <v>2022</v>
      </c>
      <c r="C172">
        <v>41489</v>
      </c>
      <c r="D172">
        <v>12638</v>
      </c>
      <c r="E172">
        <v>4073</v>
      </c>
      <c r="F172">
        <v>321</v>
      </c>
    </row>
    <row r="173" spans="1:6" x14ac:dyDescent="0.3">
      <c r="A173" t="s">
        <v>42</v>
      </c>
      <c r="B173">
        <v>2018</v>
      </c>
      <c r="C173">
        <f>18046+19782</f>
        <v>37828</v>
      </c>
      <c r="D173">
        <v>3838</v>
      </c>
      <c r="E173">
        <v>1796</v>
      </c>
      <c r="F173">
        <v>80</v>
      </c>
    </row>
    <row r="174" spans="1:6" x14ac:dyDescent="0.3">
      <c r="A174" t="s">
        <v>42</v>
      </c>
      <c r="B174">
        <v>2019</v>
      </c>
      <c r="C174">
        <f>17409+19670</f>
        <v>37079</v>
      </c>
      <c r="D174">
        <v>3500</v>
      </c>
      <c r="E174">
        <v>1492</v>
      </c>
      <c r="F174">
        <v>151</v>
      </c>
    </row>
    <row r="175" spans="1:6" x14ac:dyDescent="0.3">
      <c r="A175" t="s">
        <v>42</v>
      </c>
      <c r="B175">
        <v>2020</v>
      </c>
      <c r="C175">
        <f>17200+19883</f>
        <v>37083</v>
      </c>
      <c r="D175">
        <v>4913</v>
      </c>
      <c r="E175">
        <v>2822</v>
      </c>
      <c r="F175">
        <v>1411</v>
      </c>
    </row>
    <row r="176" spans="1:6" x14ac:dyDescent="0.3">
      <c r="A176" t="s">
        <v>42</v>
      </c>
      <c r="B176">
        <v>2021</v>
      </c>
      <c r="C176">
        <v>38826</v>
      </c>
      <c r="D176">
        <v>5741</v>
      </c>
      <c r="E176">
        <v>2900</v>
      </c>
      <c r="F176">
        <v>1166</v>
      </c>
    </row>
    <row r="177" spans="1:6" x14ac:dyDescent="0.3">
      <c r="A177" t="s">
        <v>42</v>
      </c>
      <c r="B177">
        <v>2022</v>
      </c>
      <c r="C177">
        <f>18093+22420</f>
        <v>40513</v>
      </c>
      <c r="D177">
        <v>4253</v>
      </c>
      <c r="E177">
        <v>2332</v>
      </c>
      <c r="F177">
        <v>1028</v>
      </c>
    </row>
    <row r="178" spans="1:6" x14ac:dyDescent="0.3">
      <c r="A178" t="s">
        <v>44</v>
      </c>
      <c r="B178">
        <v>2018</v>
      </c>
      <c r="C178">
        <v>51224</v>
      </c>
      <c r="D178">
        <v>6683</v>
      </c>
      <c r="E178">
        <v>4546</v>
      </c>
      <c r="F178">
        <v>164</v>
      </c>
    </row>
    <row r="179" spans="1:6" x14ac:dyDescent="0.3">
      <c r="A179" t="s">
        <v>44</v>
      </c>
      <c r="B179">
        <v>2019</v>
      </c>
      <c r="C179">
        <v>49112</v>
      </c>
      <c r="D179">
        <v>4948</v>
      </c>
      <c r="E179">
        <v>3361</v>
      </c>
      <c r="F179">
        <v>147</v>
      </c>
    </row>
    <row r="180" spans="1:6" x14ac:dyDescent="0.3">
      <c r="A180" t="s">
        <v>44</v>
      </c>
      <c r="B180">
        <v>2020</v>
      </c>
      <c r="C180">
        <f>26848+24652</f>
        <v>51500</v>
      </c>
      <c r="D180">
        <v>6750</v>
      </c>
      <c r="E180">
        <v>4791</v>
      </c>
      <c r="F180">
        <v>190</v>
      </c>
    </row>
    <row r="181" spans="1:6" x14ac:dyDescent="0.3">
      <c r="A181" t="s">
        <v>44</v>
      </c>
      <c r="B181">
        <v>2021</v>
      </c>
      <c r="C181">
        <f>33488+33892</f>
        <v>67380</v>
      </c>
      <c r="D181">
        <v>7746</v>
      </c>
      <c r="E181">
        <v>5852</v>
      </c>
      <c r="F181">
        <v>3718</v>
      </c>
    </row>
    <row r="182" spans="1:6" x14ac:dyDescent="0.3">
      <c r="A182" t="s">
        <v>44</v>
      </c>
      <c r="B182">
        <v>2022</v>
      </c>
      <c r="C182">
        <f>35492+35672</f>
        <v>71164</v>
      </c>
      <c r="D182">
        <v>7729</v>
      </c>
      <c r="E182">
        <v>5531</v>
      </c>
      <c r="F182">
        <v>260</v>
      </c>
    </row>
    <row r="183" spans="1:6" x14ac:dyDescent="0.3">
      <c r="A183" t="s">
        <v>45</v>
      </c>
      <c r="B183">
        <v>2018</v>
      </c>
      <c r="C183">
        <f>17981+20774</f>
        <v>38755</v>
      </c>
      <c r="D183">
        <v>5560</v>
      </c>
      <c r="E183">
        <v>2320</v>
      </c>
      <c r="F183">
        <v>189</v>
      </c>
    </row>
    <row r="184" spans="1:6" x14ac:dyDescent="0.3">
      <c r="A184" t="s">
        <v>45</v>
      </c>
      <c r="B184">
        <v>2019</v>
      </c>
      <c r="C184">
        <f>17354+20162</f>
        <v>37516</v>
      </c>
      <c r="D184">
        <v>5331</v>
      </c>
      <c r="E184">
        <v>1980</v>
      </c>
      <c r="F184">
        <v>330</v>
      </c>
    </row>
    <row r="185" spans="1:6" x14ac:dyDescent="0.3">
      <c r="A185" t="s">
        <v>45</v>
      </c>
      <c r="B185">
        <v>2020</v>
      </c>
      <c r="C185">
        <f>17642+20474</f>
        <v>38116</v>
      </c>
      <c r="D185">
        <v>5792</v>
      </c>
      <c r="E185">
        <v>2411</v>
      </c>
      <c r="F185">
        <v>343</v>
      </c>
    </row>
    <row r="186" spans="1:6" x14ac:dyDescent="0.3">
      <c r="A186" t="s">
        <v>45</v>
      </c>
      <c r="B186">
        <v>2021</v>
      </c>
      <c r="C186">
        <v>39533</v>
      </c>
      <c r="D186">
        <v>7835</v>
      </c>
      <c r="E186">
        <v>2875</v>
      </c>
      <c r="F186">
        <v>277</v>
      </c>
    </row>
    <row r="187" spans="1:6" x14ac:dyDescent="0.3">
      <c r="A187" t="s">
        <v>45</v>
      </c>
      <c r="B187">
        <v>2022</v>
      </c>
      <c r="C187">
        <v>49519</v>
      </c>
      <c r="D187">
        <v>8455</v>
      </c>
      <c r="E187">
        <v>3163</v>
      </c>
      <c r="F187">
        <v>594</v>
      </c>
    </row>
    <row r="188" spans="1:6" x14ac:dyDescent="0.3">
      <c r="A188" t="s">
        <v>31</v>
      </c>
      <c r="B188">
        <v>2018</v>
      </c>
      <c r="C188">
        <f>18876+13060</f>
        <v>31936</v>
      </c>
      <c r="D188">
        <v>0</v>
      </c>
      <c r="E188">
        <v>0</v>
      </c>
      <c r="F188">
        <v>0</v>
      </c>
    </row>
    <row r="189" spans="1:6" x14ac:dyDescent="0.3">
      <c r="A189" t="s">
        <v>31</v>
      </c>
      <c r="B189">
        <v>2019</v>
      </c>
      <c r="C189">
        <f>18859+13115</f>
        <v>31974</v>
      </c>
      <c r="D189">
        <v>200</v>
      </c>
      <c r="E189">
        <v>150</v>
      </c>
      <c r="F189">
        <v>25</v>
      </c>
    </row>
    <row r="190" spans="1:6" x14ac:dyDescent="0.3">
      <c r="A190" t="s">
        <v>31</v>
      </c>
      <c r="B190">
        <v>2020</v>
      </c>
      <c r="C190">
        <f>17676+13094</f>
        <v>30770</v>
      </c>
      <c r="D190">
        <v>10800</v>
      </c>
      <c r="E190">
        <v>6990</v>
      </c>
      <c r="F190">
        <v>3959</v>
      </c>
    </row>
    <row r="191" spans="1:6" x14ac:dyDescent="0.3">
      <c r="A191" t="s">
        <v>31</v>
      </c>
      <c r="B191">
        <v>2021</v>
      </c>
      <c r="C191">
        <f>23588+18466</f>
        <v>42054</v>
      </c>
      <c r="D191">
        <v>14952</v>
      </c>
      <c r="E191">
        <v>9176</v>
      </c>
      <c r="F191">
        <v>3291</v>
      </c>
    </row>
    <row r="192" spans="1:6" x14ac:dyDescent="0.3">
      <c r="A192" t="s">
        <v>31</v>
      </c>
      <c r="B192">
        <v>2022</v>
      </c>
      <c r="C192">
        <v>45321</v>
      </c>
      <c r="D192">
        <v>13311</v>
      </c>
      <c r="E192">
        <v>7587</v>
      </c>
      <c r="F192">
        <v>2458</v>
      </c>
    </row>
    <row r="193" spans="1:6" x14ac:dyDescent="0.3">
      <c r="A193" t="s">
        <v>30</v>
      </c>
      <c r="B193">
        <v>2018</v>
      </c>
      <c r="C193">
        <f>21306+21435</f>
        <v>42741</v>
      </c>
      <c r="D193">
        <v>0</v>
      </c>
      <c r="E193">
        <v>0</v>
      </c>
      <c r="F193">
        <v>0</v>
      </c>
    </row>
    <row r="194" spans="1:6" x14ac:dyDescent="0.3">
      <c r="A194" t="s">
        <v>30</v>
      </c>
      <c r="B194">
        <v>2019</v>
      </c>
      <c r="C194">
        <f>21694+22227</f>
        <v>43921</v>
      </c>
      <c r="D194">
        <v>0</v>
      </c>
      <c r="E194">
        <v>0</v>
      </c>
      <c r="F194">
        <v>0</v>
      </c>
    </row>
    <row r="195" spans="1:6" x14ac:dyDescent="0.3">
      <c r="A195" t="s">
        <v>30</v>
      </c>
      <c r="B195">
        <v>2020</v>
      </c>
      <c r="C195">
        <f>23046+22895</f>
        <v>45941</v>
      </c>
      <c r="D195">
        <v>8913</v>
      </c>
      <c r="E195">
        <v>5085</v>
      </c>
      <c r="F195">
        <v>2861</v>
      </c>
    </row>
    <row r="196" spans="1:6" x14ac:dyDescent="0.3">
      <c r="A196" t="s">
        <v>30</v>
      </c>
      <c r="B196">
        <v>2021</v>
      </c>
      <c r="C196">
        <v>53829</v>
      </c>
      <c r="D196">
        <v>8128</v>
      </c>
      <c r="E196">
        <v>4335</v>
      </c>
      <c r="F196">
        <v>14</v>
      </c>
    </row>
    <row r="197" spans="1:6" x14ac:dyDescent="0.3">
      <c r="A197" t="s">
        <v>30</v>
      </c>
      <c r="B197">
        <v>2022</v>
      </c>
      <c r="C197">
        <v>60260</v>
      </c>
      <c r="D197">
        <v>6449</v>
      </c>
      <c r="E197">
        <v>4006</v>
      </c>
      <c r="F197">
        <v>11</v>
      </c>
    </row>
    <row r="198" spans="1:6" x14ac:dyDescent="0.3">
      <c r="A198" t="s">
        <v>46</v>
      </c>
      <c r="B198">
        <v>2018</v>
      </c>
      <c r="C198">
        <f>18201+17169</f>
        <v>35370</v>
      </c>
      <c r="D198">
        <v>1125</v>
      </c>
      <c r="E198">
        <v>844</v>
      </c>
      <c r="F198">
        <v>0</v>
      </c>
    </row>
    <row r="199" spans="1:6" x14ac:dyDescent="0.3">
      <c r="A199" t="s">
        <v>46</v>
      </c>
      <c r="B199">
        <v>2019</v>
      </c>
      <c r="C199">
        <f>16720+16084</f>
        <v>32804</v>
      </c>
      <c r="D199">
        <v>902</v>
      </c>
      <c r="E199">
        <v>668</v>
      </c>
      <c r="F199">
        <v>1</v>
      </c>
    </row>
    <row r="200" spans="1:6" x14ac:dyDescent="0.3">
      <c r="A200" t="s">
        <v>46</v>
      </c>
      <c r="B200">
        <v>2020</v>
      </c>
      <c r="C200">
        <f>16782+16053</f>
        <v>32835</v>
      </c>
      <c r="D200">
        <v>820</v>
      </c>
      <c r="E200">
        <v>598</v>
      </c>
      <c r="F200">
        <v>26</v>
      </c>
    </row>
    <row r="201" spans="1:6" x14ac:dyDescent="0.3">
      <c r="A201" t="s">
        <v>46</v>
      </c>
      <c r="B201">
        <v>2021</v>
      </c>
      <c r="C201">
        <f>18737+18864</f>
        <v>37601</v>
      </c>
      <c r="D201">
        <v>1265</v>
      </c>
      <c r="E201">
        <v>1000</v>
      </c>
      <c r="F201">
        <v>150</v>
      </c>
    </row>
    <row r="202" spans="1:6" x14ac:dyDescent="0.3">
      <c r="A202" t="s">
        <v>46</v>
      </c>
      <c r="B202">
        <v>2022</v>
      </c>
      <c r="C202">
        <f>18421+19598</f>
        <v>38019</v>
      </c>
      <c r="D202">
        <v>1710</v>
      </c>
      <c r="E202">
        <v>1348</v>
      </c>
      <c r="F202">
        <v>0</v>
      </c>
    </row>
    <row r="203" spans="1:6" x14ac:dyDescent="0.3">
      <c r="A203" t="s">
        <v>47</v>
      </c>
      <c r="B203">
        <v>2018</v>
      </c>
      <c r="C203" t="s">
        <v>28</v>
      </c>
      <c r="D203" t="s">
        <v>28</v>
      </c>
      <c r="E203" t="s">
        <v>28</v>
      </c>
      <c r="F203" t="s">
        <v>28</v>
      </c>
    </row>
    <row r="204" spans="1:6" x14ac:dyDescent="0.3">
      <c r="A204" t="s">
        <v>47</v>
      </c>
      <c r="B204">
        <v>2019</v>
      </c>
      <c r="C204" t="s">
        <v>28</v>
      </c>
      <c r="D204" t="s">
        <v>28</v>
      </c>
      <c r="E204" t="s">
        <v>28</v>
      </c>
      <c r="F204" t="s">
        <v>28</v>
      </c>
    </row>
    <row r="205" spans="1:6" x14ac:dyDescent="0.3">
      <c r="A205" t="s">
        <v>47</v>
      </c>
      <c r="B205">
        <v>2020</v>
      </c>
      <c r="C205">
        <f>14646+15601</f>
        <v>30247</v>
      </c>
      <c r="D205">
        <v>3393</v>
      </c>
      <c r="E205">
        <v>1443</v>
      </c>
      <c r="F205">
        <v>1150</v>
      </c>
    </row>
    <row r="206" spans="1:6" x14ac:dyDescent="0.3">
      <c r="A206" t="s">
        <v>47</v>
      </c>
      <c r="B206">
        <v>2021</v>
      </c>
      <c r="C206">
        <f>14522+16228</f>
        <v>30750</v>
      </c>
      <c r="D206">
        <v>1948</v>
      </c>
      <c r="E206">
        <v>74</v>
      </c>
      <c r="F206">
        <v>27</v>
      </c>
    </row>
    <row r="207" spans="1:6" x14ac:dyDescent="0.3">
      <c r="A207" t="s">
        <v>47</v>
      </c>
      <c r="B207">
        <v>2022</v>
      </c>
      <c r="C207">
        <f>14917+16022</f>
        <v>30939</v>
      </c>
      <c r="D207">
        <v>4199</v>
      </c>
      <c r="E207">
        <v>1385</v>
      </c>
      <c r="F207">
        <v>1115</v>
      </c>
    </row>
    <row r="208" spans="1:6" x14ac:dyDescent="0.3">
      <c r="A208" t="s">
        <v>48</v>
      </c>
      <c r="B208">
        <v>2018</v>
      </c>
      <c r="C208">
        <f>13883+12759</f>
        <v>26642</v>
      </c>
      <c r="D208">
        <v>9908</v>
      </c>
      <c r="E208">
        <v>3478</v>
      </c>
      <c r="F208">
        <v>0</v>
      </c>
    </row>
    <row r="209" spans="1:6" x14ac:dyDescent="0.3">
      <c r="A209" t="s">
        <v>48</v>
      </c>
      <c r="B209">
        <v>2019</v>
      </c>
      <c r="C209">
        <f>15116+13670</f>
        <v>28786</v>
      </c>
      <c r="D209">
        <v>10375</v>
      </c>
      <c r="E209">
        <v>5661</v>
      </c>
      <c r="F209">
        <v>209</v>
      </c>
    </row>
    <row r="210" spans="1:6" x14ac:dyDescent="0.3">
      <c r="A210" t="s">
        <v>48</v>
      </c>
      <c r="B210">
        <v>2020</v>
      </c>
      <c r="C210">
        <f>15390+13694</f>
        <v>29084</v>
      </c>
      <c r="D210">
        <v>9760</v>
      </c>
      <c r="E210">
        <v>4921</v>
      </c>
      <c r="F210">
        <v>1076</v>
      </c>
    </row>
    <row r="211" spans="1:6" x14ac:dyDescent="0.3">
      <c r="A211" t="s">
        <v>48</v>
      </c>
      <c r="B211">
        <v>2021</v>
      </c>
      <c r="C211">
        <v>33232</v>
      </c>
      <c r="D211">
        <v>11494</v>
      </c>
      <c r="E211">
        <v>4992</v>
      </c>
      <c r="F211">
        <v>364</v>
      </c>
    </row>
    <row r="212" spans="1:6" x14ac:dyDescent="0.3">
      <c r="A212" t="s">
        <v>48</v>
      </c>
      <c r="B212">
        <v>2022</v>
      </c>
      <c r="C212">
        <v>38701</v>
      </c>
      <c r="D212">
        <v>11620</v>
      </c>
      <c r="E212">
        <v>6056</v>
      </c>
      <c r="F212">
        <v>436</v>
      </c>
    </row>
    <row r="213" spans="1:6" x14ac:dyDescent="0.3">
      <c r="A213" t="s">
        <v>49</v>
      </c>
      <c r="B213">
        <v>2018</v>
      </c>
      <c r="C213">
        <f>7065+8746</f>
        <v>15811</v>
      </c>
      <c r="D213">
        <v>1983</v>
      </c>
      <c r="E213">
        <v>1983</v>
      </c>
      <c r="F213">
        <v>234</v>
      </c>
    </row>
    <row r="214" spans="1:6" x14ac:dyDescent="0.3">
      <c r="A214" t="s">
        <v>49</v>
      </c>
      <c r="B214">
        <v>2019</v>
      </c>
      <c r="C214">
        <f>6926+8746</f>
        <v>15672</v>
      </c>
      <c r="D214">
        <v>2261</v>
      </c>
      <c r="E214">
        <v>2261</v>
      </c>
      <c r="F214">
        <v>311</v>
      </c>
    </row>
    <row r="215" spans="1:6" x14ac:dyDescent="0.3">
      <c r="A215" t="s">
        <v>49</v>
      </c>
      <c r="B215">
        <v>2020</v>
      </c>
      <c r="C215">
        <f>6843+8608</f>
        <v>15451</v>
      </c>
      <c r="D215">
        <v>2161</v>
      </c>
      <c r="E215">
        <v>2161</v>
      </c>
      <c r="F215">
        <v>646</v>
      </c>
    </row>
    <row r="216" spans="1:6" x14ac:dyDescent="0.3">
      <c r="A216" t="s">
        <v>49</v>
      </c>
      <c r="B216">
        <v>2021</v>
      </c>
      <c r="C216">
        <v>17318</v>
      </c>
      <c r="D216">
        <v>2040</v>
      </c>
      <c r="E216">
        <v>2040</v>
      </c>
      <c r="F216">
        <v>165</v>
      </c>
    </row>
    <row r="217" spans="1:6" x14ac:dyDescent="0.3">
      <c r="A217" t="s">
        <v>49</v>
      </c>
      <c r="B217">
        <v>2022</v>
      </c>
      <c r="C217">
        <f>9427+12121</f>
        <v>21548</v>
      </c>
      <c r="D217">
        <v>2965</v>
      </c>
      <c r="E217">
        <v>2965</v>
      </c>
      <c r="F217">
        <v>191</v>
      </c>
    </row>
    <row r="218" spans="1:6" x14ac:dyDescent="0.3">
      <c r="A218" t="s">
        <v>50</v>
      </c>
      <c r="B218">
        <v>2018</v>
      </c>
      <c r="C218">
        <v>24474</v>
      </c>
      <c r="D218">
        <v>264</v>
      </c>
      <c r="E218">
        <v>105</v>
      </c>
      <c r="F218">
        <v>69</v>
      </c>
    </row>
    <row r="219" spans="1:6" x14ac:dyDescent="0.3">
      <c r="A219" t="s">
        <v>50</v>
      </c>
      <c r="B219">
        <v>2019</v>
      </c>
      <c r="C219">
        <v>27358</v>
      </c>
      <c r="D219">
        <v>438</v>
      </c>
      <c r="E219">
        <v>153</v>
      </c>
      <c r="F219">
        <v>84</v>
      </c>
    </row>
    <row r="220" spans="1:6" x14ac:dyDescent="0.3">
      <c r="A220" t="s">
        <v>50</v>
      </c>
      <c r="B220">
        <v>2020</v>
      </c>
      <c r="C220">
        <f>12366+16333</f>
        <v>28699</v>
      </c>
      <c r="D220">
        <v>1137</v>
      </c>
      <c r="E220">
        <v>555</v>
      </c>
      <c r="F220">
        <v>463</v>
      </c>
    </row>
    <row r="221" spans="1:6" x14ac:dyDescent="0.3">
      <c r="A221" t="s">
        <v>50</v>
      </c>
      <c r="B221">
        <v>2021</v>
      </c>
      <c r="C221">
        <v>31568</v>
      </c>
      <c r="D221">
        <v>868</v>
      </c>
      <c r="E221">
        <v>348</v>
      </c>
      <c r="F221">
        <v>305</v>
      </c>
    </row>
    <row r="222" spans="1:6" x14ac:dyDescent="0.3">
      <c r="A222" t="s">
        <v>50</v>
      </c>
      <c r="B222">
        <v>2022</v>
      </c>
      <c r="C222">
        <v>37154</v>
      </c>
      <c r="D222">
        <v>1111</v>
      </c>
      <c r="E222">
        <v>435</v>
      </c>
      <c r="F222">
        <v>235</v>
      </c>
    </row>
    <row r="223" spans="1:6" x14ac:dyDescent="0.3">
      <c r="A223" t="s">
        <v>51</v>
      </c>
      <c r="B223">
        <v>2018</v>
      </c>
      <c r="C223">
        <f>14921+9430</f>
        <v>24351</v>
      </c>
      <c r="D223">
        <v>3677</v>
      </c>
      <c r="E223">
        <v>2310</v>
      </c>
      <c r="F223">
        <v>109</v>
      </c>
    </row>
    <row r="224" spans="1:6" x14ac:dyDescent="0.3">
      <c r="A224" t="s">
        <v>51</v>
      </c>
      <c r="B224">
        <v>2019</v>
      </c>
      <c r="C224">
        <f>16756+10878</f>
        <v>27634</v>
      </c>
      <c r="D224">
        <v>5761</v>
      </c>
      <c r="E224">
        <v>3579</v>
      </c>
      <c r="F224">
        <v>140</v>
      </c>
    </row>
    <row r="225" spans="1:6" x14ac:dyDescent="0.3">
      <c r="A225" t="s">
        <v>51</v>
      </c>
      <c r="B225">
        <v>2020</v>
      </c>
      <c r="C225">
        <f>15887+10302</f>
        <v>26189</v>
      </c>
      <c r="D225">
        <v>6819</v>
      </c>
      <c r="E225">
        <v>3461</v>
      </c>
      <c r="F225">
        <v>288</v>
      </c>
    </row>
    <row r="226" spans="1:6" x14ac:dyDescent="0.3">
      <c r="A226" t="s">
        <v>51</v>
      </c>
      <c r="B226">
        <v>2021</v>
      </c>
      <c r="C226">
        <v>32896</v>
      </c>
      <c r="D226">
        <v>8792</v>
      </c>
      <c r="E226">
        <v>5319</v>
      </c>
      <c r="F226">
        <v>35</v>
      </c>
    </row>
    <row r="227" spans="1:6" x14ac:dyDescent="0.3">
      <c r="A227" t="s">
        <v>51</v>
      </c>
      <c r="B227">
        <v>2022</v>
      </c>
      <c r="C227">
        <v>34261</v>
      </c>
      <c r="D227">
        <v>8986</v>
      </c>
      <c r="E227">
        <v>4652</v>
      </c>
      <c r="F227">
        <v>43</v>
      </c>
    </row>
    <row r="228" spans="1:6" x14ac:dyDescent="0.3">
      <c r="A228" t="s">
        <v>52</v>
      </c>
      <c r="B228">
        <v>2018</v>
      </c>
      <c r="C228">
        <v>35501</v>
      </c>
      <c r="D228" t="s">
        <v>28</v>
      </c>
      <c r="E228" t="s">
        <v>28</v>
      </c>
      <c r="F228" t="s">
        <v>28</v>
      </c>
    </row>
    <row r="229" spans="1:6" x14ac:dyDescent="0.3">
      <c r="A229" t="s">
        <v>52</v>
      </c>
      <c r="B229">
        <v>2019</v>
      </c>
      <c r="C229">
        <f>14385+21196</f>
        <v>35581</v>
      </c>
      <c r="D229">
        <v>2190</v>
      </c>
      <c r="E229">
        <v>1057</v>
      </c>
      <c r="F229">
        <v>1049</v>
      </c>
    </row>
    <row r="230" spans="1:6" x14ac:dyDescent="0.3">
      <c r="A230" t="s">
        <v>52</v>
      </c>
      <c r="B230">
        <v>2020</v>
      </c>
      <c r="C230">
        <f>13799+19998</f>
        <v>33797</v>
      </c>
      <c r="D230">
        <v>2359</v>
      </c>
      <c r="E230">
        <v>660</v>
      </c>
      <c r="F230">
        <v>436</v>
      </c>
    </row>
    <row r="231" spans="1:6" x14ac:dyDescent="0.3">
      <c r="A231" t="s">
        <v>52</v>
      </c>
      <c r="B231">
        <v>2021</v>
      </c>
      <c r="C231">
        <f>14732+22839</f>
        <v>37571</v>
      </c>
      <c r="D231">
        <v>6377</v>
      </c>
      <c r="E231">
        <v>636</v>
      </c>
      <c r="F231">
        <v>558</v>
      </c>
    </row>
    <row r="232" spans="1:6" x14ac:dyDescent="0.3">
      <c r="A232" t="s">
        <v>52</v>
      </c>
      <c r="B232">
        <v>2022</v>
      </c>
      <c r="C232">
        <f>15179+23537</f>
        <v>38716</v>
      </c>
      <c r="D232">
        <v>3813</v>
      </c>
      <c r="E232">
        <v>777</v>
      </c>
      <c r="F232">
        <v>633</v>
      </c>
    </row>
    <row r="233" spans="1:6" x14ac:dyDescent="0.3">
      <c r="A233" t="s">
        <v>53</v>
      </c>
      <c r="B233">
        <v>2018</v>
      </c>
      <c r="C233">
        <v>20923</v>
      </c>
      <c r="D233">
        <v>3296</v>
      </c>
      <c r="E233">
        <v>2137</v>
      </c>
      <c r="F233">
        <v>31</v>
      </c>
    </row>
    <row r="234" spans="1:6" x14ac:dyDescent="0.3">
      <c r="A234" t="s">
        <v>53</v>
      </c>
      <c r="B234">
        <v>2019</v>
      </c>
      <c r="C234">
        <v>27087</v>
      </c>
      <c r="D234">
        <v>2788</v>
      </c>
      <c r="E234">
        <v>1869</v>
      </c>
      <c r="F234">
        <v>1</v>
      </c>
    </row>
    <row r="235" spans="1:6" x14ac:dyDescent="0.3">
      <c r="A235" t="s">
        <v>53</v>
      </c>
      <c r="B235">
        <v>2020</v>
      </c>
      <c r="C235">
        <f>12031+11424</f>
        <v>23455</v>
      </c>
      <c r="D235">
        <v>3151</v>
      </c>
      <c r="E235">
        <v>2045</v>
      </c>
      <c r="F235">
        <v>156</v>
      </c>
    </row>
    <row r="236" spans="1:6" x14ac:dyDescent="0.3">
      <c r="A236" t="s">
        <v>53</v>
      </c>
      <c r="B236">
        <v>2021</v>
      </c>
      <c r="C236">
        <f>14761+14783</f>
        <v>29544</v>
      </c>
      <c r="D236">
        <v>3016</v>
      </c>
      <c r="E236">
        <v>2118</v>
      </c>
      <c r="F236">
        <v>2</v>
      </c>
    </row>
    <row r="237" spans="1:6" x14ac:dyDescent="0.3">
      <c r="A237" t="s">
        <v>53</v>
      </c>
      <c r="B237">
        <v>2022</v>
      </c>
      <c r="C237">
        <v>31443</v>
      </c>
      <c r="D237">
        <v>4244</v>
      </c>
      <c r="E237">
        <v>3112</v>
      </c>
      <c r="F237">
        <v>0</v>
      </c>
    </row>
    <row r="238" spans="1:6" x14ac:dyDescent="0.3">
      <c r="A238" t="s">
        <v>54</v>
      </c>
      <c r="B238">
        <v>2018</v>
      </c>
      <c r="C238">
        <v>34681</v>
      </c>
      <c r="D238">
        <v>5644</v>
      </c>
      <c r="E238">
        <v>1581</v>
      </c>
      <c r="F238">
        <v>791</v>
      </c>
    </row>
    <row r="239" spans="1:6" x14ac:dyDescent="0.3">
      <c r="A239" t="s">
        <v>54</v>
      </c>
      <c r="B239">
        <v>2019</v>
      </c>
      <c r="C239">
        <v>34582</v>
      </c>
      <c r="D239">
        <v>6884</v>
      </c>
      <c r="E239">
        <v>1637</v>
      </c>
      <c r="F239">
        <v>803</v>
      </c>
    </row>
    <row r="240" spans="1:6" x14ac:dyDescent="0.3">
      <c r="A240" t="s">
        <v>54</v>
      </c>
      <c r="B240">
        <v>2020</v>
      </c>
      <c r="C240">
        <f>12962+20718</f>
        <v>33680</v>
      </c>
      <c r="D240">
        <v>1674</v>
      </c>
      <c r="E240">
        <v>562</v>
      </c>
      <c r="F240">
        <v>83</v>
      </c>
    </row>
    <row r="241" spans="1:6" x14ac:dyDescent="0.3">
      <c r="A241" t="s">
        <v>54</v>
      </c>
      <c r="B241">
        <v>2021</v>
      </c>
      <c r="C241">
        <v>36588</v>
      </c>
      <c r="D241">
        <v>968</v>
      </c>
      <c r="E241">
        <v>253</v>
      </c>
      <c r="F241">
        <v>3</v>
      </c>
    </row>
    <row r="242" spans="1:6" x14ac:dyDescent="0.3">
      <c r="A242" t="s">
        <v>54</v>
      </c>
      <c r="B242">
        <v>2022</v>
      </c>
      <c r="C242">
        <v>40753</v>
      </c>
      <c r="D242">
        <v>3767</v>
      </c>
      <c r="E242">
        <v>819</v>
      </c>
      <c r="F242">
        <v>491</v>
      </c>
    </row>
    <row r="243" spans="1:6" x14ac:dyDescent="0.3">
      <c r="A243" t="s">
        <v>55</v>
      </c>
      <c r="B243">
        <v>2018</v>
      </c>
      <c r="C243">
        <v>34313</v>
      </c>
      <c r="D243" t="s">
        <v>28</v>
      </c>
      <c r="E243" t="s">
        <v>28</v>
      </c>
      <c r="F243">
        <v>243</v>
      </c>
    </row>
    <row r="244" spans="1:6" x14ac:dyDescent="0.3">
      <c r="A244" t="s">
        <v>55</v>
      </c>
      <c r="B244">
        <v>2019</v>
      </c>
      <c r="C244">
        <v>37310</v>
      </c>
      <c r="D244" t="s">
        <v>28</v>
      </c>
      <c r="E244" t="s">
        <v>28</v>
      </c>
      <c r="F244">
        <v>453</v>
      </c>
    </row>
    <row r="245" spans="1:6" x14ac:dyDescent="0.3">
      <c r="A245" t="s">
        <v>55</v>
      </c>
      <c r="B245">
        <v>2020</v>
      </c>
      <c r="C245">
        <v>36646</v>
      </c>
      <c r="D245" t="s">
        <v>28</v>
      </c>
      <c r="E245" t="s">
        <v>28</v>
      </c>
      <c r="F245">
        <v>479</v>
      </c>
    </row>
    <row r="246" spans="1:6" x14ac:dyDescent="0.3">
      <c r="A246" t="s">
        <v>55</v>
      </c>
      <c r="B246">
        <v>2021</v>
      </c>
      <c r="C246">
        <v>47152</v>
      </c>
      <c r="D246" t="s">
        <v>28</v>
      </c>
      <c r="E246" t="s">
        <v>28</v>
      </c>
      <c r="F246">
        <v>181</v>
      </c>
    </row>
    <row r="247" spans="1:6" x14ac:dyDescent="0.3">
      <c r="A247" t="s">
        <v>55</v>
      </c>
      <c r="B247">
        <v>2022</v>
      </c>
      <c r="C247">
        <v>46377</v>
      </c>
      <c r="D247" t="s">
        <v>28</v>
      </c>
      <c r="E247" t="s">
        <v>28</v>
      </c>
      <c r="F247">
        <v>221</v>
      </c>
    </row>
    <row r="248" spans="1:6" x14ac:dyDescent="0.3">
      <c r="A248" t="s">
        <v>56</v>
      </c>
      <c r="B248">
        <v>2018</v>
      </c>
      <c r="C248">
        <f>11999+8458</f>
        <v>20457</v>
      </c>
      <c r="D248" t="s">
        <v>28</v>
      </c>
      <c r="E248" t="s">
        <v>28</v>
      </c>
      <c r="F248" t="s">
        <v>28</v>
      </c>
    </row>
    <row r="249" spans="1:6" x14ac:dyDescent="0.3">
      <c r="A249" t="s">
        <v>56</v>
      </c>
      <c r="B249">
        <v>2019</v>
      </c>
      <c r="C249">
        <f>12846+8918</f>
        <v>21764</v>
      </c>
      <c r="D249" t="s">
        <v>28</v>
      </c>
      <c r="E249" t="s">
        <v>28</v>
      </c>
      <c r="F249" t="s">
        <v>28</v>
      </c>
    </row>
    <row r="250" spans="1:6" x14ac:dyDescent="0.3">
      <c r="A250" t="s">
        <v>56</v>
      </c>
      <c r="B250">
        <v>2020</v>
      </c>
      <c r="C250">
        <v>25423</v>
      </c>
      <c r="D250" t="s">
        <v>28</v>
      </c>
      <c r="E250" t="s">
        <v>28</v>
      </c>
      <c r="F250" t="s">
        <v>28</v>
      </c>
    </row>
    <row r="251" spans="1:6" x14ac:dyDescent="0.3">
      <c r="A251" t="s">
        <v>56</v>
      </c>
      <c r="B251">
        <v>2021</v>
      </c>
      <c r="C251">
        <v>29909</v>
      </c>
      <c r="D251">
        <v>128</v>
      </c>
      <c r="E251">
        <v>53</v>
      </c>
      <c r="F251">
        <v>19</v>
      </c>
    </row>
    <row r="252" spans="1:6" x14ac:dyDescent="0.3">
      <c r="A252" t="s">
        <v>56</v>
      </c>
      <c r="B252">
        <v>2022</v>
      </c>
      <c r="C252">
        <v>36290</v>
      </c>
      <c r="D252">
        <v>2198</v>
      </c>
      <c r="E252">
        <v>930</v>
      </c>
      <c r="F252">
        <v>140</v>
      </c>
    </row>
    <row r="253" spans="1:6" x14ac:dyDescent="0.3">
      <c r="A253" t="s">
        <v>57</v>
      </c>
      <c r="B253">
        <v>2018</v>
      </c>
      <c r="C253">
        <v>28845</v>
      </c>
      <c r="D253">
        <v>2715</v>
      </c>
      <c r="E253">
        <v>1153</v>
      </c>
      <c r="F253">
        <v>449</v>
      </c>
    </row>
    <row r="254" spans="1:6" x14ac:dyDescent="0.3">
      <c r="A254" t="s">
        <v>57</v>
      </c>
      <c r="B254">
        <v>2019</v>
      </c>
      <c r="C254">
        <v>29070</v>
      </c>
      <c r="D254">
        <v>2607</v>
      </c>
      <c r="E254">
        <v>1097</v>
      </c>
      <c r="F254">
        <v>6</v>
      </c>
    </row>
    <row r="255" spans="1:6" x14ac:dyDescent="0.3">
      <c r="A255" t="s">
        <v>57</v>
      </c>
      <c r="B255">
        <v>2020</v>
      </c>
      <c r="C255">
        <v>28600</v>
      </c>
      <c r="D255">
        <v>5154</v>
      </c>
      <c r="E255">
        <v>2580</v>
      </c>
      <c r="F255">
        <v>798</v>
      </c>
    </row>
    <row r="256" spans="1:6" x14ac:dyDescent="0.3">
      <c r="A256" t="s">
        <v>57</v>
      </c>
      <c r="B256">
        <v>2021</v>
      </c>
      <c r="C256">
        <v>47007</v>
      </c>
      <c r="D256">
        <v>9865</v>
      </c>
      <c r="E256">
        <v>4964</v>
      </c>
      <c r="F256">
        <v>11</v>
      </c>
    </row>
    <row r="257" spans="1:6" x14ac:dyDescent="0.3">
      <c r="A257" t="s">
        <v>57</v>
      </c>
      <c r="B257">
        <v>2022</v>
      </c>
      <c r="C257">
        <v>52819</v>
      </c>
      <c r="D257">
        <v>10057</v>
      </c>
      <c r="E257">
        <v>4512</v>
      </c>
      <c r="F257">
        <v>1162</v>
      </c>
    </row>
    <row r="258" spans="1:6" x14ac:dyDescent="0.3">
      <c r="A258" t="s">
        <v>58</v>
      </c>
      <c r="B258">
        <v>2018</v>
      </c>
      <c r="C258">
        <f>12848+18041</f>
        <v>30889</v>
      </c>
      <c r="D258">
        <v>3814</v>
      </c>
      <c r="E258">
        <v>199</v>
      </c>
      <c r="F258">
        <v>125</v>
      </c>
    </row>
    <row r="259" spans="1:6" x14ac:dyDescent="0.3">
      <c r="A259" t="s">
        <v>58</v>
      </c>
      <c r="B259">
        <v>2019</v>
      </c>
      <c r="C259">
        <f>12938+18330</f>
        <v>31268</v>
      </c>
      <c r="D259">
        <v>2588</v>
      </c>
      <c r="E259">
        <v>11</v>
      </c>
      <c r="F259">
        <v>8</v>
      </c>
    </row>
    <row r="260" spans="1:6" x14ac:dyDescent="0.3">
      <c r="A260" t="s">
        <v>58</v>
      </c>
      <c r="B260">
        <v>2020</v>
      </c>
      <c r="C260">
        <f>14389+20568</f>
        <v>34957</v>
      </c>
      <c r="D260">
        <v>2588</v>
      </c>
      <c r="E260">
        <v>11</v>
      </c>
      <c r="F260">
        <v>8</v>
      </c>
    </row>
    <row r="261" spans="1:6" x14ac:dyDescent="0.3">
      <c r="A261" t="s">
        <v>58</v>
      </c>
      <c r="B261">
        <v>2021</v>
      </c>
      <c r="C261">
        <v>42045</v>
      </c>
      <c r="D261">
        <v>8023</v>
      </c>
      <c r="E261">
        <v>399</v>
      </c>
      <c r="F261">
        <v>243</v>
      </c>
    </row>
    <row r="262" spans="1:6" x14ac:dyDescent="0.3">
      <c r="A262" t="s">
        <v>58</v>
      </c>
      <c r="B262">
        <v>2022</v>
      </c>
      <c r="C262">
        <v>42188</v>
      </c>
      <c r="D262">
        <v>5847</v>
      </c>
      <c r="E262">
        <v>2238</v>
      </c>
      <c r="F262">
        <v>28</v>
      </c>
    </row>
    <row r="263" spans="1:6" x14ac:dyDescent="0.3">
      <c r="A263" t="s">
        <v>59</v>
      </c>
      <c r="B263">
        <v>2018</v>
      </c>
      <c r="C263">
        <f>44491</f>
        <v>44491</v>
      </c>
      <c r="D263">
        <v>3535</v>
      </c>
      <c r="E263">
        <v>2561</v>
      </c>
      <c r="F263">
        <v>9</v>
      </c>
    </row>
    <row r="264" spans="1:6" x14ac:dyDescent="0.3">
      <c r="A264" t="s">
        <v>59</v>
      </c>
      <c r="B264">
        <v>2019</v>
      </c>
      <c r="C264">
        <f>22459+22502</f>
        <v>44961</v>
      </c>
      <c r="D264">
        <v>2932</v>
      </c>
      <c r="E264">
        <v>2051</v>
      </c>
      <c r="F264">
        <v>101</v>
      </c>
    </row>
    <row r="265" spans="1:6" x14ac:dyDescent="0.3">
      <c r="A265" t="s">
        <v>59</v>
      </c>
      <c r="B265">
        <v>2020</v>
      </c>
      <c r="C265">
        <f>42205</f>
        <v>42205</v>
      </c>
      <c r="D265">
        <v>3205</v>
      </c>
      <c r="E265">
        <v>2350</v>
      </c>
      <c r="F265">
        <v>391</v>
      </c>
    </row>
    <row r="266" spans="1:6" x14ac:dyDescent="0.3">
      <c r="A266" t="s">
        <v>59</v>
      </c>
      <c r="B266">
        <v>2021</v>
      </c>
      <c r="C266">
        <v>56322</v>
      </c>
      <c r="D266">
        <v>3933</v>
      </c>
      <c r="E266">
        <v>2753</v>
      </c>
      <c r="F266">
        <v>121</v>
      </c>
    </row>
    <row r="267" spans="1:6" x14ac:dyDescent="0.3">
      <c r="A267" t="s">
        <v>59</v>
      </c>
      <c r="B267">
        <v>2022</v>
      </c>
      <c r="C267">
        <v>54588</v>
      </c>
      <c r="D267">
        <v>3351</v>
      </c>
      <c r="E267">
        <v>2508</v>
      </c>
      <c r="F267">
        <v>147</v>
      </c>
    </row>
    <row r="268" spans="1:6" x14ac:dyDescent="0.3">
      <c r="A268" t="s">
        <v>60</v>
      </c>
      <c r="B268">
        <v>2018</v>
      </c>
      <c r="C268">
        <f>13362+16495</f>
        <v>29857</v>
      </c>
      <c r="D268">
        <v>1664</v>
      </c>
      <c r="E268">
        <v>576</v>
      </c>
      <c r="F268">
        <v>24</v>
      </c>
    </row>
    <row r="269" spans="1:6" x14ac:dyDescent="0.3">
      <c r="A269" t="s">
        <v>60</v>
      </c>
      <c r="B269">
        <v>2019</v>
      </c>
      <c r="C269">
        <f>14485+17606</f>
        <v>32091</v>
      </c>
      <c r="D269">
        <v>3518</v>
      </c>
      <c r="E269">
        <v>1266</v>
      </c>
      <c r="F269">
        <v>578</v>
      </c>
    </row>
    <row r="270" spans="1:6" x14ac:dyDescent="0.3">
      <c r="A270" t="s">
        <v>60</v>
      </c>
      <c r="B270">
        <v>2020</v>
      </c>
      <c r="C270">
        <f>14531+18018</f>
        <v>32549</v>
      </c>
      <c r="D270">
        <v>2207</v>
      </c>
      <c r="E270">
        <v>1061</v>
      </c>
      <c r="F270">
        <v>193</v>
      </c>
    </row>
    <row r="271" spans="1:6" x14ac:dyDescent="0.3">
      <c r="A271" t="s">
        <v>60</v>
      </c>
      <c r="B271">
        <v>2021</v>
      </c>
      <c r="C271">
        <v>34656</v>
      </c>
      <c r="D271">
        <v>2434</v>
      </c>
      <c r="E271">
        <v>1116</v>
      </c>
      <c r="F271">
        <v>16</v>
      </c>
    </row>
    <row r="272" spans="1:6" x14ac:dyDescent="0.3">
      <c r="A272" t="s">
        <v>60</v>
      </c>
      <c r="B272">
        <v>2022</v>
      </c>
      <c r="C272">
        <v>53072</v>
      </c>
      <c r="D272">
        <v>6905</v>
      </c>
      <c r="E272">
        <v>3791</v>
      </c>
      <c r="F272">
        <v>1666</v>
      </c>
    </row>
    <row r="273" spans="1:6" x14ac:dyDescent="0.3">
      <c r="A273" t="s">
        <v>61</v>
      </c>
      <c r="B273">
        <v>2018</v>
      </c>
      <c r="C273">
        <f>10700+8857</f>
        <v>19557</v>
      </c>
      <c r="D273">
        <v>1880</v>
      </c>
      <c r="E273">
        <v>1770</v>
      </c>
      <c r="F273">
        <v>187</v>
      </c>
    </row>
    <row r="274" spans="1:6" x14ac:dyDescent="0.3">
      <c r="A274" t="s">
        <v>61</v>
      </c>
      <c r="B274">
        <v>2019</v>
      </c>
      <c r="C274">
        <f>9638+9916</f>
        <v>19554</v>
      </c>
      <c r="D274">
        <v>1379</v>
      </c>
      <c r="E274">
        <v>874</v>
      </c>
      <c r="F274">
        <v>308</v>
      </c>
    </row>
    <row r="275" spans="1:6" x14ac:dyDescent="0.3">
      <c r="A275" t="s">
        <v>61</v>
      </c>
      <c r="B275">
        <v>2020</v>
      </c>
      <c r="C275">
        <f>9282+11916</f>
        <v>21198</v>
      </c>
      <c r="D275">
        <v>1128</v>
      </c>
      <c r="E275">
        <v>711</v>
      </c>
      <c r="F275">
        <v>462</v>
      </c>
    </row>
    <row r="276" spans="1:6" x14ac:dyDescent="0.3">
      <c r="A276" t="s">
        <v>61</v>
      </c>
      <c r="B276">
        <v>2021</v>
      </c>
      <c r="C276">
        <f>11308+9219</f>
        <v>20527</v>
      </c>
      <c r="D276">
        <v>855</v>
      </c>
      <c r="E276">
        <v>337</v>
      </c>
      <c r="F276">
        <v>230</v>
      </c>
    </row>
    <row r="277" spans="1:6" x14ac:dyDescent="0.3">
      <c r="A277" t="s">
        <v>61</v>
      </c>
      <c r="B277">
        <v>2022</v>
      </c>
      <c r="C277">
        <f>10753+9248</f>
        <v>20001</v>
      </c>
      <c r="D277">
        <v>794</v>
      </c>
      <c r="E277">
        <v>445</v>
      </c>
      <c r="F277">
        <v>302</v>
      </c>
    </row>
    <row r="278" spans="1:6" x14ac:dyDescent="0.3">
      <c r="A278" t="s">
        <v>62</v>
      </c>
      <c r="B278">
        <v>2018</v>
      </c>
      <c r="C278">
        <v>13335</v>
      </c>
      <c r="D278">
        <v>1079</v>
      </c>
      <c r="E278" t="s">
        <v>28</v>
      </c>
      <c r="F278">
        <v>261</v>
      </c>
    </row>
    <row r="279" spans="1:6" x14ac:dyDescent="0.3">
      <c r="A279" t="s">
        <v>62</v>
      </c>
      <c r="B279">
        <v>2019</v>
      </c>
      <c r="C279">
        <v>13761</v>
      </c>
      <c r="D279">
        <v>548</v>
      </c>
      <c r="E279" t="s">
        <v>28</v>
      </c>
      <c r="F279">
        <v>128</v>
      </c>
    </row>
    <row r="280" spans="1:6" x14ac:dyDescent="0.3">
      <c r="A280" t="s">
        <v>62</v>
      </c>
      <c r="B280">
        <v>2020</v>
      </c>
      <c r="C280">
        <v>13651</v>
      </c>
      <c r="D280">
        <v>1049</v>
      </c>
      <c r="E280" t="s">
        <v>28</v>
      </c>
      <c r="F280">
        <v>952</v>
      </c>
    </row>
    <row r="281" spans="1:6" x14ac:dyDescent="0.3">
      <c r="A281" t="s">
        <v>62</v>
      </c>
      <c r="B281">
        <v>2021</v>
      </c>
      <c r="C281">
        <v>13586</v>
      </c>
      <c r="D281">
        <v>1085</v>
      </c>
      <c r="E281" t="s">
        <v>28</v>
      </c>
      <c r="F281">
        <v>693</v>
      </c>
    </row>
    <row r="282" spans="1:6" x14ac:dyDescent="0.3">
      <c r="A282" t="s">
        <v>62</v>
      </c>
      <c r="B282">
        <v>2022</v>
      </c>
      <c r="C282">
        <v>14435</v>
      </c>
      <c r="D282">
        <v>1170</v>
      </c>
      <c r="E282" t="s">
        <v>28</v>
      </c>
      <c r="F282">
        <v>621</v>
      </c>
    </row>
    <row r="283" spans="1:6" x14ac:dyDescent="0.3">
      <c r="A283" t="s">
        <v>63</v>
      </c>
      <c r="B283">
        <v>2018</v>
      </c>
      <c r="C283" t="s">
        <v>28</v>
      </c>
      <c r="D283" t="s">
        <v>28</v>
      </c>
      <c r="E283" t="s">
        <v>28</v>
      </c>
      <c r="F283" t="s">
        <v>28</v>
      </c>
    </row>
    <row r="284" spans="1:6" x14ac:dyDescent="0.3">
      <c r="A284" t="s">
        <v>63</v>
      </c>
      <c r="B284">
        <v>2019</v>
      </c>
      <c r="C284">
        <v>40139</v>
      </c>
      <c r="D284">
        <v>5486</v>
      </c>
      <c r="E284">
        <v>2969</v>
      </c>
      <c r="F284">
        <v>8</v>
      </c>
    </row>
    <row r="285" spans="1:6" x14ac:dyDescent="0.3">
      <c r="A285" t="s">
        <v>63</v>
      </c>
      <c r="B285">
        <v>2020</v>
      </c>
      <c r="C285">
        <v>40780</v>
      </c>
      <c r="D285">
        <v>6465</v>
      </c>
      <c r="E285">
        <v>3780</v>
      </c>
      <c r="F285">
        <v>165</v>
      </c>
    </row>
    <row r="286" spans="1:6" x14ac:dyDescent="0.3">
      <c r="A286" t="s">
        <v>63</v>
      </c>
      <c r="B286">
        <v>2021</v>
      </c>
      <c r="C286">
        <v>47982</v>
      </c>
      <c r="D286">
        <v>8690</v>
      </c>
      <c r="E286">
        <v>4924</v>
      </c>
      <c r="F286">
        <v>86</v>
      </c>
    </row>
    <row r="287" spans="1:6" x14ac:dyDescent="0.3">
      <c r="A287" t="s">
        <v>63</v>
      </c>
      <c r="B287">
        <v>2022</v>
      </c>
      <c r="C287">
        <v>50926</v>
      </c>
      <c r="D287">
        <v>8368</v>
      </c>
      <c r="E287">
        <v>4937</v>
      </c>
      <c r="F28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raasikh naveed</dc:creator>
  <cp:lastModifiedBy>Naveed, Raasikh</cp:lastModifiedBy>
  <dcterms:created xsi:type="dcterms:W3CDTF">2024-08-28T21:21:06Z</dcterms:created>
  <dcterms:modified xsi:type="dcterms:W3CDTF">2024-10-31T22:00:28Z</dcterms:modified>
</cp:coreProperties>
</file>